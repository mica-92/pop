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B Nuevos Partners" sheetId="1" r:id="rId5"/>
    <sheet state="hidden" name="Rebrand KB" sheetId="2" r:id="rId6"/>
    <sheet state="visible" name="BL nuevos partners" sheetId="3" r:id="rId7"/>
    <sheet state="visible" name="BL Rebrand pendientes" sheetId="4" r:id="rId8"/>
    <sheet state="visible" name="BL Rebrand nuevos" sheetId="5" r:id="rId9"/>
    <sheet state="visible" name="BL Carrefour" sheetId="6" r:id="rId10"/>
    <sheet state="visible" name="Carrefour instalaciones" sheetId="7" r:id="rId11"/>
    <sheet state="hidden" name="Bicicletero" sheetId="8" r:id="rId12"/>
  </sheets>
  <definedNames>
    <definedName hidden="1" localSheetId="1" name="_xlnm._FilterDatabase">'Rebrand KB'!$A$1:$L$114</definedName>
    <definedName hidden="1" localSheetId="3" name="_xlnm._FilterDatabase">'BL Rebrand pendientes'!$A$1:$L$16</definedName>
    <definedName hidden="1" localSheetId="4" name="_xlnm._FilterDatabase">'BL Rebrand nuevos'!$A$1:$L$78</definedName>
    <definedName hidden="1" localSheetId="5" name="_xlnm._FilterDatabase">'BL Carrefour'!$A$1:$N$40</definedName>
    <definedName hidden="1" localSheetId="6" name="_xlnm._FilterDatabase">'Carrefour instalaciones'!$A$1:$D$39</definedName>
  </definedNames>
  <calcPr/>
</workbook>
</file>

<file path=xl/sharedStrings.xml><?xml version="1.0" encoding="utf-8"?>
<sst xmlns="http://schemas.openxmlformats.org/spreadsheetml/2006/main" count="15906" uniqueCount="6595">
  <si>
    <t>Grid</t>
  </si>
  <si>
    <t>Nombre del partner</t>
  </si>
  <si>
    <t>Bussines Name</t>
  </si>
  <si>
    <t>Status</t>
  </si>
  <si>
    <t>KA</t>
  </si>
  <si>
    <t>Telefono</t>
  </si>
  <si>
    <t>Dirección</t>
  </si>
  <si>
    <t>Provincia</t>
  </si>
  <si>
    <t>Ciudad</t>
  </si>
  <si>
    <t>Barrio</t>
  </si>
  <si>
    <t>Dia de registro</t>
  </si>
  <si>
    <t>Latitude - Longitude</t>
  </si>
  <si>
    <t>4C8WUO</t>
  </si>
  <si>
    <t>Betos San Francisco</t>
  </si>
  <si>
    <t>Restaurant</t>
  </si>
  <si>
    <t>Online</t>
  </si>
  <si>
    <t>Yes</t>
  </si>
  <si>
    <t>Bv. 9 de Julio  2302</t>
  </si>
  <si>
    <t>Córdoba</t>
  </si>
  <si>
    <t>San Francisco</t>
  </si>
  <si>
    <t>-31.4297597,-62.09203239999999</t>
  </si>
  <si>
    <t>HADTFS</t>
  </si>
  <si>
    <t>Sale Pizza Lomas Del Mirador</t>
  </si>
  <si>
    <t>No</t>
  </si>
  <si>
    <t>Gral. O'Brien 130, B1752 Lomas del Mirador, Provincia de Buenos Aires, Argentina -</t>
  </si>
  <si>
    <t>Buenos Aires</t>
  </si>
  <si>
    <t>La Matanza</t>
  </si>
  <si>
    <t>Lomas del Mirador</t>
  </si>
  <si>
    <t>-34.6703344,-58.52966230000001</t>
  </si>
  <si>
    <t>HW1WPH</t>
  </si>
  <si>
    <t>Lamas Resto</t>
  </si>
  <si>
    <t>Lafinur 3286 Palermo -</t>
  </si>
  <si>
    <t>Capital Federal</t>
  </si>
  <si>
    <t>Palermo</t>
  </si>
  <si>
    <t>-34.577754,-58.41281239999999</t>
  </si>
  <si>
    <t>HAYTN5</t>
  </si>
  <si>
    <t>Hecho En Casa Ingeniero Maschwitz</t>
  </si>
  <si>
    <t>Santiago del Estero 1724 ingeniero Maschwitz -</t>
  </si>
  <si>
    <t>Escobar</t>
  </si>
  <si>
    <t>Ingeniero Maschwitz</t>
  </si>
  <si>
    <t>-34.3861364,-58.745529</t>
  </si>
  <si>
    <t>HRBS4S</t>
  </si>
  <si>
    <t>Vestaburguer</t>
  </si>
  <si>
    <t>C. 59 721, B1900 La Plata, Argentina -</t>
  </si>
  <si>
    <t>La Plata</t>
  </si>
  <si>
    <t>-34.9221983,-57.945413</t>
  </si>
  <si>
    <t>HRPAAN</t>
  </si>
  <si>
    <t>La Papirusa</t>
  </si>
  <si>
    <t>Ambrosio Cramer 1498 -</t>
  </si>
  <si>
    <t>Pilar</t>
  </si>
  <si>
    <t>Fátima</t>
  </si>
  <si>
    <t>-34.4434681,-58.9705381</t>
  </si>
  <si>
    <t>HRDEYZ</t>
  </si>
  <si>
    <t>Panaderia Del Pilar</t>
  </si>
  <si>
    <t>Mendoza 2800 -</t>
  </si>
  <si>
    <t>Tucumán</t>
  </si>
  <si>
    <t>Yerba Buena</t>
  </si>
  <si>
    <t>-26.8263706,-65.316558</t>
  </si>
  <si>
    <t>HRXMIX</t>
  </si>
  <si>
    <t>Wonder Hamburgueseria / San Francisco</t>
  </si>
  <si>
    <t>Bv. 9 de Julio 1370 -</t>
  </si>
  <si>
    <t>-31.4312127,-62.081608</t>
  </si>
  <si>
    <t>HPPGAR</t>
  </si>
  <si>
    <t>Churros Gourmet</t>
  </si>
  <si>
    <t>RN9 3199-3163, S2132 Funes, Santa Fe, Argentina -</t>
  </si>
  <si>
    <t>Santa Fe</t>
  </si>
  <si>
    <t>Funes</t>
  </si>
  <si>
    <t>-32.91898345807989,-60.82760226628093</t>
  </si>
  <si>
    <t>4MNVFW</t>
  </si>
  <si>
    <t>Crujen - Dorrego.</t>
  </si>
  <si>
    <t>Dorrego 1927, local 6 Guaymallen -</t>
  </si>
  <si>
    <t>Mendoza</t>
  </si>
  <si>
    <t>Guaymallén</t>
  </si>
  <si>
    <t>Dorrego</t>
  </si>
  <si>
    <t>-32.9144906,-68.8303127</t>
  </si>
  <si>
    <t>HPINC6</t>
  </si>
  <si>
    <t>Mostaza Lomas Auto Café &amp; Postres</t>
  </si>
  <si>
    <t>Av. Hipólito Yrigoyen 7937, B1832BQK Banfield, Provincia de Buenos Aires, Argentina -</t>
  </si>
  <si>
    <t>Lomas de Zamora</t>
  </si>
  <si>
    <t>Banfield</t>
  </si>
  <si>
    <t>-34.7478157,-58.4001198</t>
  </si>
  <si>
    <t>HP29TB</t>
  </si>
  <si>
    <t>Holy Mila Unicenter</t>
  </si>
  <si>
    <t>Paraná 3745 Nivel 3 - Patio de comidas, B1640FRC Martínez, Provincia de Buenos Aires -</t>
  </si>
  <si>
    <t>San Isidro</t>
  </si>
  <si>
    <t>Martínez</t>
  </si>
  <si>
    <t>-34.5077704,-58.524291</t>
  </si>
  <si>
    <t>HP29PP</t>
  </si>
  <si>
    <t>El Club De La Milanesa Unicenter</t>
  </si>
  <si>
    <t>Paraná 3745,Nivel 3 - Patio de comidas, B1640FRC Martínez, Provincia de Buenos Aires -</t>
  </si>
  <si>
    <t>-34.50779015,-58.5242771</t>
  </si>
  <si>
    <t>HP29PU</t>
  </si>
  <si>
    <t>Sándwich Del Club Unicenter</t>
  </si>
  <si>
    <t>-34.507756,-58.5244255893</t>
  </si>
  <si>
    <t>HTGV5T</t>
  </si>
  <si>
    <t>Mostaza Castelar Auto</t>
  </si>
  <si>
    <t>LTI, Sta. Rosa 1649, B1712 Castelar, Provincia de Buenos Aires, Argentina -</t>
  </si>
  <si>
    <t>Morón</t>
  </si>
  <si>
    <t>Castelar</t>
  </si>
  <si>
    <t>-34.6416694,-58.65608270000001</t>
  </si>
  <si>
    <t>HTE025</t>
  </si>
  <si>
    <t>Mostaza Escobar</t>
  </si>
  <si>
    <t>Colón 599, B1625GGI Belén de Escobar, Provincia de Buenos Aires, Argentina -</t>
  </si>
  <si>
    <t>Belén de Escobar</t>
  </si>
  <si>
    <t>-34.34828765,-58.7954633</t>
  </si>
  <si>
    <t>HTGVCO</t>
  </si>
  <si>
    <t>Mostaza Castelar Auto Café &amp; Postres</t>
  </si>
  <si>
    <t>HTEJYN</t>
  </si>
  <si>
    <t>Mostaza Escobar Café &amp; Postres</t>
  </si>
  <si>
    <t>-34.34827895,-58.79547315</t>
  </si>
  <si>
    <t>HT6MFC</t>
  </si>
  <si>
    <t>Wendy's Mataderos</t>
  </si>
  <si>
    <t>Av. Juan Bautista Alberdi 5996, C1440AAX Cdad. Autónoma de Buenos Aires, Argentina -</t>
  </si>
  <si>
    <t>Mataderos</t>
  </si>
  <si>
    <t>-34.6531774,-58.5036297</t>
  </si>
  <si>
    <t>HTGY7W</t>
  </si>
  <si>
    <t>A Toda Mecha</t>
  </si>
  <si>
    <t>Caseros 2882, B1651 Villa Yapeyú, Argentina -</t>
  </si>
  <si>
    <t>San Martín</t>
  </si>
  <si>
    <t>San Andrés</t>
  </si>
  <si>
    <t>-34.5717945,-58.548527</t>
  </si>
  <si>
    <t>HT8B2N</t>
  </si>
  <si>
    <t>Caserísimo 905</t>
  </si>
  <si>
    <t>San Pedro 6166, B1653 Villa Ballester, Argentina -</t>
  </si>
  <si>
    <t>Villa Ballester</t>
  </si>
  <si>
    <t>-34.5490672,-58.57795360000001</t>
  </si>
  <si>
    <t>HT8QFH</t>
  </si>
  <si>
    <t>Mostaza Poeta Lugones</t>
  </si>
  <si>
    <t>Manuel Cardeñosa y Fray Luis Beltrán, Local L1220,  X5008 Córdoba -</t>
  </si>
  <si>
    <t>Poeta Lugones</t>
  </si>
  <si>
    <t>-31.36440705,-64.21681985</t>
  </si>
  <si>
    <t>HTGBHN</t>
  </si>
  <si>
    <t>Ohana Pizzas Listas Pa Hornear</t>
  </si>
  <si>
    <t>Biarritz 3669, Villa José León Suárez, Provincia de Buenos Aires, Argentina -</t>
  </si>
  <si>
    <t>José León Suárez</t>
  </si>
  <si>
    <t>-34.5458018,-58.57623570000001</t>
  </si>
  <si>
    <t>HT89EO</t>
  </si>
  <si>
    <t>Mostaza Poeta Lugones Postres Café &amp; Postres</t>
  </si>
  <si>
    <t>Cardeñosa y Fray Luis Beltran, Local L1220, Córdoba -</t>
  </si>
  <si>
    <t>-31.36433495,-64.21677755</t>
  </si>
  <si>
    <t>HTH7CL</t>
  </si>
  <si>
    <t>Café Martínez - Rosario 101</t>
  </si>
  <si>
    <t>Rosario 101, CABA -</t>
  </si>
  <si>
    <t>Caballito</t>
  </si>
  <si>
    <t>-34.6184575,-58.4300318</t>
  </si>
  <si>
    <t>HTLCT7</t>
  </si>
  <si>
    <t>Postres Grumosos</t>
  </si>
  <si>
    <t>Martín Lange 4342, B1653 Villa General Juan Gregorio de Las Heras, Argentina -</t>
  </si>
  <si>
    <t>-34.5568738,-58.5552404</t>
  </si>
  <si>
    <t>HTLBL4</t>
  </si>
  <si>
    <t>Fuego Y Muzza</t>
  </si>
  <si>
    <t>Calle 19 3910, B1651 Villa Granaderos de San Martín, Argentina -</t>
  </si>
  <si>
    <t>-34.544585,-58.5331446</t>
  </si>
  <si>
    <t>HTL71O</t>
  </si>
  <si>
    <t>La Caraqueñita</t>
  </si>
  <si>
    <t>Emilio Zola 7250 Dpto 02, tocar timbre lado derecho, puerta negra., B1655 Villa José León Suárez, Argentina -</t>
  </si>
  <si>
    <t>-34.5237146,-58.5647014</t>
  </si>
  <si>
    <t>HTEQLL</t>
  </si>
  <si>
    <t>El Club De La Milanesa Pollo Merlo</t>
  </si>
  <si>
    <t>Sarandí 397, Merlo, Provincia de Buenos Aires, Argentina -</t>
  </si>
  <si>
    <t>Merlo</t>
  </si>
  <si>
    <t>-34.66987659999999,-58.7241219</t>
  </si>
  <si>
    <t>HTLJT7</t>
  </si>
  <si>
    <t>La Casa De Mora</t>
  </si>
  <si>
    <t>Pueyrredón 4214, B1650 San Martín, Provincia de Buenos Aires, Argentina -</t>
  </si>
  <si>
    <t>-34.5781614,-58.54387190000001</t>
  </si>
  <si>
    <t>HT4BVM</t>
  </si>
  <si>
    <t>Lucciano's La Imprenta</t>
  </si>
  <si>
    <t>Gorostiaga 1614, Ciudad Autónoma de Buenos Aires, Argentina -</t>
  </si>
  <si>
    <t>Las Cañitas</t>
  </si>
  <si>
    <t>-34.5654048,-58.4362908</t>
  </si>
  <si>
    <t>HTH2KS</t>
  </si>
  <si>
    <t>Mr Tasty - San Martin 2</t>
  </si>
  <si>
    <t>Sarmiento 1991, San Martín, Provincia de Buenos Aires, Argentina -</t>
  </si>
  <si>
    <t>-34.5753395,-58.5343524</t>
  </si>
  <si>
    <t>HTHNOU</t>
  </si>
  <si>
    <t>Morita - Pilar Palmas</t>
  </si>
  <si>
    <t>Las Magnolias 835, B1629 Pilar Centro, Provincia de Buenos Aires, Argentina -</t>
  </si>
  <si>
    <t>La Lonja</t>
  </si>
  <si>
    <t>-34.4490274622,-58.86891455</t>
  </si>
  <si>
    <t>HTHNJY</t>
  </si>
  <si>
    <t>Kiosco De Empanadas - Pilar Palmas</t>
  </si>
  <si>
    <t>-34.4490076,-58.8688936</t>
  </si>
  <si>
    <t>4MCVWB</t>
  </si>
  <si>
    <t>Dia - San Martin Ii (14)</t>
  </si>
  <si>
    <t>Market</t>
  </si>
  <si>
    <t>BELGRANO 3162 , SAN MARTIN (Provincia Bs As) -</t>
  </si>
  <si>
    <t>-34.5738492,-58.53256939999999</t>
  </si>
  <si>
    <t>HTLT09</t>
  </si>
  <si>
    <t>Mostaza Rafael Nuñez - Liviano</t>
  </si>
  <si>
    <t>Av. Rafael Núñez 4594, X5009 Córdoba, Argentina -</t>
  </si>
  <si>
    <t>San Marcelo</t>
  </si>
  <si>
    <t>-31.3636318,-64.23626349999999</t>
  </si>
  <si>
    <t>HTLTWR</t>
  </si>
  <si>
    <t>Mostaza Rafael Nuñez Café</t>
  </si>
  <si>
    <t>HTHQLZ</t>
  </si>
  <si>
    <t>Sama Cream</t>
  </si>
  <si>
    <t>C. 110 5508 Esquina Eva Peron, B1650 Billinghurst, Argentina -</t>
  </si>
  <si>
    <t>Billinghurst</t>
  </si>
  <si>
    <t>-34.5697366,-58.5737588</t>
  </si>
  <si>
    <t>HTEX5Y</t>
  </si>
  <si>
    <t>El Club De La Milanesa Pollo Adrogué</t>
  </si>
  <si>
    <t>Bartolomé Mitre 1228, Adrogué, Provincia de Buenos Aires, Argentina -</t>
  </si>
  <si>
    <t>Almirante Brown</t>
  </si>
  <si>
    <t>Adrogué</t>
  </si>
  <si>
    <t>-34.7971349,-58.3910361</t>
  </si>
  <si>
    <t>HTDEFV</t>
  </si>
  <si>
    <t>El Club De La Milanesa Pollo  Estudiantes</t>
  </si>
  <si>
    <t>Avenida 1 N° 1100 esq. 55 (Club Estudiantes de La Plata), La Plata, Buenos Aires -</t>
  </si>
  <si>
    <t>-34.91097094340846,-57.9393997749939</t>
  </si>
  <si>
    <t>HPIN22</t>
  </si>
  <si>
    <t>KFC Cabildo 2</t>
  </si>
  <si>
    <t>Av. Cabildo 774, C1426AAU Cdad. Autónoma de Buenos Aires, Argentina -</t>
  </si>
  <si>
    <t>Colegiales</t>
  </si>
  <si>
    <t>-34.57021875,-58.4445280674</t>
  </si>
  <si>
    <t>HTEBOL</t>
  </si>
  <si>
    <t>El Club De La Milanesa Pollo Mercado Zarpado</t>
  </si>
  <si>
    <t>San Luis 1038, S2000 Rosario, Santa Fe -</t>
  </si>
  <si>
    <t>Rosario</t>
  </si>
  <si>
    <t>Centro</t>
  </si>
  <si>
    <t>-32.9491253,-60.6380028963</t>
  </si>
  <si>
    <t>HTHX5N</t>
  </si>
  <si>
    <t>Postrecito Bajonero</t>
  </si>
  <si>
    <t>Caseros 2121 -</t>
  </si>
  <si>
    <t>-34.57809350000001,-58.54042880000001</t>
  </si>
  <si>
    <t>HTH78J</t>
  </si>
  <si>
    <t>Mostaza Rafael Nuñez</t>
  </si>
  <si>
    <t>HTG3I6</t>
  </si>
  <si>
    <t>El Club De La Milanesa Pollo Monte Grande</t>
  </si>
  <si>
    <t>Anacleto Rojas 216 -</t>
  </si>
  <si>
    <t>Esteban Echeverría</t>
  </si>
  <si>
    <t>Monte Grande</t>
  </si>
  <si>
    <t>-34.8177197,-58.47102469999999</t>
  </si>
  <si>
    <t>HTDVGN</t>
  </si>
  <si>
    <t>El Club De La Milanesa Pollo (moreno)</t>
  </si>
  <si>
    <t>Independencia 2831, B1744OCS Moreno, Provincia de Buenos Aires -</t>
  </si>
  <si>
    <t>Moreno</t>
  </si>
  <si>
    <t>-34.6466208,-58.7890797</t>
  </si>
  <si>
    <t>HTEQLE</t>
  </si>
  <si>
    <t>El Club De La Milanesa Pollo Santa Rosa</t>
  </si>
  <si>
    <t>Santa Rosa 1206, Ituzaingó, Provincia de Buenos Aires, Argentina -</t>
  </si>
  <si>
    <t>Ituzaingó</t>
  </si>
  <si>
    <t>-34.6454457,-58.6575636</t>
  </si>
  <si>
    <t>HTEQZR</t>
  </si>
  <si>
    <t>El Club De La Milanesa Pollo Tom</t>
  </si>
  <si>
    <t>TOM Open Mall, Ramal Pilar, Tortuguitas, Provincia de Buenos Aires, Argentina -</t>
  </si>
  <si>
    <t>Malvinas Argentinas</t>
  </si>
  <si>
    <t>Área de Promoción El Triángulo</t>
  </si>
  <si>
    <t>-34.45187,-58.7275324</t>
  </si>
  <si>
    <t>HTEBJL</t>
  </si>
  <si>
    <t>El Club De La Milanesa Pollo Pellegrini</t>
  </si>
  <si>
    <t>Av. Pellegrini 1605, S2000 Rosario, Santa Fe -</t>
  </si>
  <si>
    <t>Del Abasto</t>
  </si>
  <si>
    <t>-32.9563923382,-60.6479080265</t>
  </si>
  <si>
    <t>HTG42K</t>
  </si>
  <si>
    <t>El Club De La Milanesa Pollo Lomas De Zamora</t>
  </si>
  <si>
    <t>Sixto Fernández 292 -</t>
  </si>
  <si>
    <t>-34.7667101,-58.4019385</t>
  </si>
  <si>
    <t>HTEBOO</t>
  </si>
  <si>
    <t>El Club De La Milanesa Pollo Vía Vieja</t>
  </si>
  <si>
    <t>Santa Fe 3445, S2000 Rosario, Santa Fe -</t>
  </si>
  <si>
    <t>Luis Agote</t>
  </si>
  <si>
    <t>-32.93991716400006,-60.66955679098511</t>
  </si>
  <si>
    <t>HT6FB4</t>
  </si>
  <si>
    <t>Café Martínez - Roque Perez</t>
  </si>
  <si>
    <t>Roque Pérez 3897, Ciudad Autónoma de Buenos Aires, Argentina -</t>
  </si>
  <si>
    <t>Saavedra</t>
  </si>
  <si>
    <t>-34.5522949,-58.4805532</t>
  </si>
  <si>
    <t>HTDV69</t>
  </si>
  <si>
    <t>El Club De La Milanesa Pollo La Plata</t>
  </si>
  <si>
    <t>DIAGONAL 74 ENTRE 46 Y 47 1451 -</t>
  </si>
  <si>
    <t>-34.90176,-57.95611</t>
  </si>
  <si>
    <t>HTHC1U</t>
  </si>
  <si>
    <t>Pizzería De Lokos</t>
  </si>
  <si>
    <t>C. 123 4274, B1650 Villa Juan Martín de Pueyrredón, Argentina -</t>
  </si>
  <si>
    <t>-34.5711533,-58.5706047</t>
  </si>
  <si>
    <t>HT6NXL</t>
  </si>
  <si>
    <t>Lo De Lolo 552</t>
  </si>
  <si>
    <t>Tucumán 2334, B1650 San Martín, Argentina -</t>
  </si>
  <si>
    <t>-34.5757565,-58.5421194</t>
  </si>
  <si>
    <t>HTHNO5</t>
  </si>
  <si>
    <t>Las Pizzas Del Abuelo 8</t>
  </si>
  <si>
    <t>1ᵒ de Agosto de 1806 5432, B1653 Villa Coronel José María Zapiola, Argentina -</t>
  </si>
  <si>
    <t>-34.5581914,-58.57558849999999</t>
  </si>
  <si>
    <t>HTGBZ7</t>
  </si>
  <si>
    <t>Burger King Pollo Alcorta</t>
  </si>
  <si>
    <t>Jerónimo Salguero 3172, C1425 Cdad. Autónoma de Buenos Aires, Argentina -</t>
  </si>
  <si>
    <t>-34.5744885,-58.40393499999999</t>
  </si>
  <si>
    <t>HTHURO</t>
  </si>
  <si>
    <t>Bajon Express</t>
  </si>
  <si>
    <t>Gral. Lavalle 4887, B1650 Billinghurst, Argentina -</t>
  </si>
  <si>
    <t>-34.56709128385359,-58.57537281205597</t>
  </si>
  <si>
    <t>HTGBKZ</t>
  </si>
  <si>
    <t>Burger King Alcorta</t>
  </si>
  <si>
    <t>HTGBZG</t>
  </si>
  <si>
    <t>Burger King Café Alcorta</t>
  </si>
  <si>
    <t>HT67UF</t>
  </si>
  <si>
    <t>Mostaza Terrazas De Mayo - Liviano</t>
  </si>
  <si>
    <t>Ruta Provincial 8 202, San Miguel, Provincia de Buenos Aires -</t>
  </si>
  <si>
    <t>Los Polvorines</t>
  </si>
  <si>
    <t>-34.53094115,-58.7023204437</t>
  </si>
  <si>
    <t>HTHWUT</t>
  </si>
  <si>
    <t>Mostaza Canning Auto - Liviano</t>
  </si>
  <si>
    <t>Mariano Castex 374, B1804 El Jagüel, Provincia de Buenos Aires, Argentina -</t>
  </si>
  <si>
    <t>El Jagüel</t>
  </si>
  <si>
    <t>-34.8486184,-58.50438509999999</t>
  </si>
  <si>
    <t>HT67UR</t>
  </si>
  <si>
    <t>Mostaza Lanús Auto - Liviano</t>
  </si>
  <si>
    <t>Av. Hipólito Yrigoyen 3916, Lanús, Provincia de Buenos Aires, Argentina -</t>
  </si>
  <si>
    <t>Lanús</t>
  </si>
  <si>
    <t>-34.7005009,-58.39175699999999</t>
  </si>
  <si>
    <t>HT6701</t>
  </si>
  <si>
    <t>Mostaza Ruta 197 - Liviano</t>
  </si>
  <si>
    <t>Mermoz 1131, El Talar, Provincia de Buenos Aires, Argentina -</t>
  </si>
  <si>
    <t>Tigre</t>
  </si>
  <si>
    <t>El Talar</t>
  </si>
  <si>
    <t>-34.476162157,-58.6646298</t>
  </si>
  <si>
    <t>HT67UL</t>
  </si>
  <si>
    <t>Mostaza Velez - Liviano</t>
  </si>
  <si>
    <t>Av. Álvarez Jonte 6383, Ciudad Autónoma de Buenos Aires, Argentina -</t>
  </si>
  <si>
    <t>Versalles</t>
  </si>
  <si>
    <t>-34.6335992,-58.5214513</t>
  </si>
  <si>
    <t>HTH8FN</t>
  </si>
  <si>
    <t>Mostaza Escobar - Liviano</t>
  </si>
  <si>
    <t>-34.3482655,-58.79540455</t>
  </si>
  <si>
    <t>HT67UX</t>
  </si>
  <si>
    <t>Mostaza Alto Rosario - Liviano</t>
  </si>
  <si>
    <t>Junín 501, Rosario, Provincia de Santa Fe, Argentina -</t>
  </si>
  <si>
    <t>Las Malvinas</t>
  </si>
  <si>
    <t>-32.92727095,-60.66867955</t>
  </si>
  <si>
    <t>HTHL0N</t>
  </si>
  <si>
    <t>Mostaza Poeta Lugones - Liviano</t>
  </si>
  <si>
    <t>-31.3643099,-64.2169972</t>
  </si>
  <si>
    <t>HT67UI</t>
  </si>
  <si>
    <t>Mostaza Mendoza Plaza Shopping - Liviano</t>
  </si>
  <si>
    <t>Gagliardi 3341, Mendoza, Provincia de Mendoza, Argentina -</t>
  </si>
  <si>
    <t>Villa Nueva</t>
  </si>
  <si>
    <t>-32.9009821,-68.79912045</t>
  </si>
  <si>
    <t>HT67UB</t>
  </si>
  <si>
    <t>Mostaza Tigre - Liviano</t>
  </si>
  <si>
    <t>General Bartolomé Mitre 460, Tigre, Provincia de Buenos Aires, Argentina -</t>
  </si>
  <si>
    <t>-34.4227052,-58.5802969</t>
  </si>
  <si>
    <t>HT670A</t>
  </si>
  <si>
    <t>Mostaza Plaza Italia - Liviano</t>
  </si>
  <si>
    <t>Av. 44 &amp; Pl. Italia, La Plata, Provincia de Buenos Aires, Argentina -</t>
  </si>
  <si>
    <t>-34.9101506,-57.954419</t>
  </si>
  <si>
    <t>HTHWSY</t>
  </si>
  <si>
    <t>Mostaza Ituzaingó - Liviano</t>
  </si>
  <si>
    <t>Cnel. Pablo Zufriategui 965, B1714GDM Buenos Aires, Provincia de Buenos Aires, Argentina -</t>
  </si>
  <si>
    <t>-34.6589351,-58.6685107</t>
  </si>
  <si>
    <t>HTHWJR</t>
  </si>
  <si>
    <t>Mostaza Mataderos - Liviano</t>
  </si>
  <si>
    <t>Av. Juan Bautista Alberdi 7401, C1440 Cdad. Autónoma de Buenos Aires, Argentina -</t>
  </si>
  <si>
    <t>-34.6614386,-58.51699529999999</t>
  </si>
  <si>
    <t>HT67U2</t>
  </si>
  <si>
    <t>Mostaza Alto Avellaneda - Liviano</t>
  </si>
  <si>
    <t>Gral. Güemes 897, Avellaneda, Provincia de Buenos Aires, Argentina -</t>
  </si>
  <si>
    <t>Avellaneda</t>
  </si>
  <si>
    <t>Crucecita</t>
  </si>
  <si>
    <t>-34.67595865000001,-58.36790405</t>
  </si>
  <si>
    <t>HTH8CT</t>
  </si>
  <si>
    <t>Mostaza Castelar Auto - Liviano</t>
  </si>
  <si>
    <t>HTGUYB</t>
  </si>
  <si>
    <t>Vonna Pizza</t>
  </si>
  <si>
    <t>C. Lincoln 3661, B1650 San Martín, Argentina -</t>
  </si>
  <si>
    <t>-34.578589,-58.5344851</t>
  </si>
  <si>
    <t>HPOBA1</t>
  </si>
  <si>
    <t>Juntos A Comer</t>
  </si>
  <si>
    <t>Córdoba 3548 -</t>
  </si>
  <si>
    <t>-34.5578227,-58.54374019999999</t>
  </si>
  <si>
    <t>HT4EXE</t>
  </si>
  <si>
    <t>Kentucky Café - San Pedrito</t>
  </si>
  <si>
    <t>Av. San Pedrito 5 -</t>
  </si>
  <si>
    <t>Flores</t>
  </si>
  <si>
    <t>-34.6307167,-58.4695683</t>
  </si>
  <si>
    <t>HT4EQR</t>
  </si>
  <si>
    <t>Kentucky - San Pedrito</t>
  </si>
  <si>
    <t>-34.6309023,-58.46972100000001</t>
  </si>
  <si>
    <t>HT8IHD</t>
  </si>
  <si>
    <t>Tytdulcesdonitas</t>
  </si>
  <si>
    <t>C. 117 (Necochea) 1966, B1650 San Martín, Argentina -</t>
  </si>
  <si>
    <t>Villa Lynch</t>
  </si>
  <si>
    <t>-34.5861475,-58.546638</t>
  </si>
  <si>
    <t>HTHKDE</t>
  </si>
  <si>
    <t>Catuli Pasteleria</t>
  </si>
  <si>
    <t>Sgto Cabral 2644 Local 2, B1653 Villa Ballester, Argentina -</t>
  </si>
  <si>
    <t>-34.5409807,-58.5637272</t>
  </si>
  <si>
    <t>HRFHKT</t>
  </si>
  <si>
    <t>Burgermonts</t>
  </si>
  <si>
    <t>ONCE DE SEPTIEMBRE 5345 - ESQUINA : PSJE MIGUEL ANGEL -</t>
  </si>
  <si>
    <t>-34.552497,-58.56719889999999</t>
  </si>
  <si>
    <t>HTH8RH</t>
  </si>
  <si>
    <t>La Nueva Esquina - Villa Granaderos</t>
  </si>
  <si>
    <t>La Nueva 1290, B1650 Villa Granaderos de San Martín, Argentina -</t>
  </si>
  <si>
    <t>-34.553656,-58.5265202</t>
  </si>
  <si>
    <t>HTWR57</t>
  </si>
  <si>
    <t>Mostaza Barracas Mall Mendoza - Liviano</t>
  </si>
  <si>
    <t>Las CaÃ±as 1833, Dorrego, Mendoza, Argentina -</t>
  </si>
  <si>
    <t>Las Cañas</t>
  </si>
  <si>
    <t>-32.9158284,-68.8219525</t>
  </si>
  <si>
    <t>HTWR54</t>
  </si>
  <si>
    <t>Mostaza Devoto Shopping - Liviano</t>
  </si>
  <si>
    <t>Devoto Shopping, Quevedo 3365, Ciudad Autónoma de Buenos Aires, Argentina -</t>
  </si>
  <si>
    <t>Villa Devoto</t>
  </si>
  <si>
    <t>-34.61194935,-58.5175686</t>
  </si>
  <si>
    <t>HTWROI</t>
  </si>
  <si>
    <t>Mostaza Av La Plata - Liviano</t>
  </si>
  <si>
    <t>Av. La Plata 1150, C1205 Cdad. Autónoma de Buenos Aires -</t>
  </si>
  <si>
    <t>Boedo</t>
  </si>
  <si>
    <t>-34.6287363,-58.426066</t>
  </si>
  <si>
    <t>HTWR59</t>
  </si>
  <si>
    <t>Mostaza Sarandi - Liviano</t>
  </si>
  <si>
    <t>Parque Comercial Avellaneda, Sarandí, Provincia de Buenos Aires, Argentina -</t>
  </si>
  <si>
    <t>Sarandí</t>
  </si>
  <si>
    <t>-34.6798226,-58.3334052</t>
  </si>
  <si>
    <t>HTWTAA</t>
  </si>
  <si>
    <t>Mostaza  Paseo Pilar - Liviano</t>
  </si>
  <si>
    <t>Av Panamericana Km 44 -</t>
  </si>
  <si>
    <t>Del Viso</t>
  </si>
  <si>
    <t>-34.4360375,-58.8077031</t>
  </si>
  <si>
    <t>HTWT0R</t>
  </si>
  <si>
    <t>Mostaza Portal Lomas - Liviano</t>
  </si>
  <si>
    <t>AntÃ¡rtida Argentina 801 -</t>
  </si>
  <si>
    <t>Llavallol</t>
  </si>
  <si>
    <t>-34.7928875,-58.4177656</t>
  </si>
  <si>
    <t>HTWR50</t>
  </si>
  <si>
    <t>Mostaza Carrefour San Justo - Liviano</t>
  </si>
  <si>
    <t>SODIMAC, Av. Don Bosco 2680, Villa Luzuriaga, Provincia de Buenos Aires, Argentina -</t>
  </si>
  <si>
    <t>Villa Luzuriaga</t>
  </si>
  <si>
    <t>-34.6648443,-58.5976015</t>
  </si>
  <si>
    <t>HTWR5T</t>
  </si>
  <si>
    <t>Mostaza Walmart Constituyentes - Liviano</t>
  </si>
  <si>
    <t>Av. de los Constituyentes 6020, Ciudad Autónoma de Buenos Aires, Argentina -</t>
  </si>
  <si>
    <t>Villa Pueyrredón</t>
  </si>
  <si>
    <t>-34.5739426,-58.50646285</t>
  </si>
  <si>
    <t>HTWR55</t>
  </si>
  <si>
    <t>Mostaza Pacheco - Liviano</t>
  </si>
  <si>
    <t>Avenida Hipólito Yrigoyen 810, General Pacheco, Provincia de Buenos Aires, Argentina -</t>
  </si>
  <si>
    <t>General Pacheco</t>
  </si>
  <si>
    <t>-34.4599858,-58.6336328</t>
  </si>
  <si>
    <t>HTWTTI</t>
  </si>
  <si>
    <t>Mostaza Plaza Oeste Shopping - Liviano</t>
  </si>
  <si>
    <t>Avenida Brigadier General Juan Manuel de Rosas 658 -</t>
  </si>
  <si>
    <t>-34.6344125,-58.6296094</t>
  </si>
  <si>
    <t>HTWTK7</t>
  </si>
  <si>
    <t>Mostaza San Martín - Liviano</t>
  </si>
  <si>
    <t>Av. 25 de Mayo, San Martín, Provincia de Buenos Aires, Argentina -</t>
  </si>
  <si>
    <t>-34.5850125,-58.51867189999999</t>
  </si>
  <si>
    <t>HTWTY8</t>
  </si>
  <si>
    <t>Mostaza Panamericana - Liviano</t>
  </si>
  <si>
    <t>ParanÃ¡ 3999, B1640 San Isidro, Provincia de Buenos Aires, Argentina -</t>
  </si>
  <si>
    <t>-34.5099059,-58.5249271</t>
  </si>
  <si>
    <t>HTZ9RW</t>
  </si>
  <si>
    <t>Mostaza  Walmart San Justo - Liviano</t>
  </si>
  <si>
    <t>Avenida Brigadier General Juan Manuel de Rosas 3900 -</t>
  </si>
  <si>
    <t>San Justo</t>
  </si>
  <si>
    <t>-34.6867345,-58.5550716</t>
  </si>
  <si>
    <t>HTWROV</t>
  </si>
  <si>
    <t>Mostaza Lomitas - Liviano</t>
  </si>
  <si>
    <t>Av. Colombres 302, Lomas de Zamora, Provincia de Buenos Aires, Argentina -</t>
  </si>
  <si>
    <t>-34.7641792,-58.40168850000001</t>
  </si>
  <si>
    <t>HTWT5Z</t>
  </si>
  <si>
    <t>Mostaza Tortugas - Liviano</t>
  </si>
  <si>
    <t>Ramal Pilar 4051, B1667KRA Garin, Provincia de Buenos Aires -</t>
  </si>
  <si>
    <t>-34.4521625,-58.72732809999999</t>
  </si>
  <si>
    <t>HTWRJV</t>
  </si>
  <si>
    <t>Mostaza Walmart La Plata - Liviano</t>
  </si>
  <si>
    <t>Cam. Parque Centenario 1876, Gonnet, La Plata, Provincia de Buenos Aires, Argentina -</t>
  </si>
  <si>
    <t>Manuel Bernardo Gonnet</t>
  </si>
  <si>
    <t>-34.8917555,-57.9999106249</t>
  </si>
  <si>
    <t>HTW056</t>
  </si>
  <si>
    <t>Mostaza Avellaneda Mitre - Cafe &amp; Postres</t>
  </si>
  <si>
    <t>Av. Bartolomé Mitre 901, B1870 Avellaneda, Cdad. Autónoma de Buenos Aires, Argentina -</t>
  </si>
  <si>
    <t>-34.6635847,-58.3634778</t>
  </si>
  <si>
    <t>HTWR5Z</t>
  </si>
  <si>
    <t>Mostaza Dot - Liviano</t>
  </si>
  <si>
    <t>Vedia 3626, Ciudad Autónoma de Buenos Aires, Argentina -</t>
  </si>
  <si>
    <t>-34.5460556,-58.4882944</t>
  </si>
  <si>
    <t>HTWRJN</t>
  </si>
  <si>
    <t>Mostaza Las Toscas - Liviano</t>
  </si>
  <si>
    <t>Shopping Las Toscas, Formosa 653, Ezeiza, Provincia de Buenos Aires, Argentina -</t>
  </si>
  <si>
    <t>Ezeiza</t>
  </si>
  <si>
    <t>-34.85582285,-58.50348435</t>
  </si>
  <si>
    <t>HTWT23</t>
  </si>
  <si>
    <t>Mostaza Norcenter - Liviano</t>
  </si>
  <si>
    <t>Esteban Echeverrï¿½a 3750 P1. Local 04  -</t>
  </si>
  <si>
    <t>Vicente López</t>
  </si>
  <si>
    <t>Munro</t>
  </si>
  <si>
    <t>-34.5145824,-58.5234213</t>
  </si>
  <si>
    <t>HTWYW8</t>
  </si>
  <si>
    <t>Mostaza Avellaneda Mitre - Liviano</t>
  </si>
  <si>
    <t>4MFV7P</t>
  </si>
  <si>
    <t>Puppis -  Alvarez Thomas</t>
  </si>
  <si>
    <t>Pets</t>
  </si>
  <si>
    <t>Alvarez Thomas 311, CABA -</t>
  </si>
  <si>
    <t>-34.5812759,-58.44851679999999</t>
  </si>
  <si>
    <t>HTWT8A</t>
  </si>
  <si>
    <t>Mostaza Guaymallen Walmart  - Liviano</t>
  </si>
  <si>
    <t>Coronel Moldes 1023, M5519 Guaymallén, Mendoza, Argentina -</t>
  </si>
  <si>
    <t>-32.9157498105,-68.8251354</t>
  </si>
  <si>
    <t>HTWTP8</t>
  </si>
  <si>
    <t>La Esquina De La Medialuna- Ballester.</t>
  </si>
  <si>
    <t>Alvear 2509 -</t>
  </si>
  <si>
    <t>-34.5481797,-58.55252280000001</t>
  </si>
  <si>
    <t>HTWTIM</t>
  </si>
  <si>
    <t>Mostaza Haedo Auto - Liviano</t>
  </si>
  <si>
    <t>Dr. Luis Güemes 452, B1706EYJ Haedo, Provincia de Buenos Aires, Argentina -</t>
  </si>
  <si>
    <t>Haedo</t>
  </si>
  <si>
    <t>-34.6389345,-58.5824321</t>
  </si>
  <si>
    <t>HTWTXW</t>
  </si>
  <si>
    <t>Mostaza Morón  - Liviano</t>
  </si>
  <si>
    <t>Belgrano 274, B1704ETF MorÃ³n, Provincia de Buenos Aires, Argentina -</t>
  </si>
  <si>
    <t>-34.6513019,-58.62084650000001</t>
  </si>
  <si>
    <t>HTWTMT</t>
  </si>
  <si>
    <t>Mostaza Nine Shopping - Liviano</t>
  </si>
  <si>
    <t>Avenida Victorica 1128 - nine shopping -</t>
  </si>
  <si>
    <t>-34.6349875,-58.7926719</t>
  </si>
  <si>
    <t>HTW0J8</t>
  </si>
  <si>
    <t>Mostaza - Avellaneda Mitre</t>
  </si>
  <si>
    <t>HTWYQV</t>
  </si>
  <si>
    <t>El Permitido 838</t>
  </si>
  <si>
    <t>J. M. Bosch 4989, B1650 Villa Juan Martín de Pueyrredón, Provincia de Buenos Aires -</t>
  </si>
  <si>
    <t>-34.5757248,-58.5593069</t>
  </si>
  <si>
    <t>HTGY5T</t>
  </si>
  <si>
    <t>La Haus Gluten Free.</t>
  </si>
  <si>
    <t>Dorrego 3545, B1651 Villa San Andrés, Argentina -</t>
  </si>
  <si>
    <t>-34.5469973,-58.5392996</t>
  </si>
  <si>
    <t>HTKEDR</t>
  </si>
  <si>
    <t>Central De Pizzas Y Empanadas San Martín 2</t>
  </si>
  <si>
    <t>Intendente A. M. Campos 1966, San Martín, Provincia de Buenos Aires, Argentina -</t>
  </si>
  <si>
    <t>-34.5775453,-58.5365617</t>
  </si>
  <si>
    <t>HTBZWJ</t>
  </si>
  <si>
    <t>El Pichi - Bebidas</t>
  </si>
  <si>
    <t>Drinks</t>
  </si>
  <si>
    <t>HIPOLITO YRIGOYEN 93, 
VILLA CARLOS PAZ. 
5152-CORDOBA -</t>
  </si>
  <si>
    <t>Villa Carlos Paz</t>
  </si>
  <si>
    <t>Los Eucaliptos</t>
  </si>
  <si>
    <t>-31.414022,-64.4887956</t>
  </si>
  <si>
    <t>HTZWGD</t>
  </si>
  <si>
    <t>Deepfood</t>
  </si>
  <si>
    <t>san lorenzo 33 -</t>
  </si>
  <si>
    <t>Miguel Muñoz</t>
  </si>
  <si>
    <t>-31.4219994,-64.4973589</t>
  </si>
  <si>
    <t>HTWTAB</t>
  </si>
  <si>
    <t>Pasteleria Rey Pol</t>
  </si>
  <si>
    <t>Corrientes 3474, B1651 Villa San Andrés, Argentina -</t>
  </si>
  <si>
    <t>-34.5557726,-58.53985160000001</t>
  </si>
  <si>
    <t>HTKQVQ</t>
  </si>
  <si>
    <t>Green Eat Quilmes</t>
  </si>
  <si>
    <t>Garibaldi 228, B1878 Quilmes, Provincia de Buenos Aires -</t>
  </si>
  <si>
    <t>Quilmes</t>
  </si>
  <si>
    <t>-34.7232025,-58.2556226</t>
  </si>
  <si>
    <t>HTZC8E</t>
  </si>
  <si>
    <t>Sushiclub - Ingeniero Maschwitz.</t>
  </si>
  <si>
    <t>Mendoza 1636, B1623CSF Ingeniero Maschwitz, Provincia de Buenos Aires -</t>
  </si>
  <si>
    <t>-34.3822761,-58.7473609</t>
  </si>
  <si>
    <t>HTLTU9</t>
  </si>
  <si>
    <t>Cafe Martinez Av Corrientes 1900</t>
  </si>
  <si>
    <t>Av. Corrientes 1900, C1025AAO Cdad. Autónoma de Buenos Aires, Argentina -</t>
  </si>
  <si>
    <t>Balvanera</t>
  </si>
  <si>
    <t>-34.6045988,-58.39374919999999</t>
  </si>
  <si>
    <t>HTZ2OX</t>
  </si>
  <si>
    <t>Parador Lo De Carlitos</t>
  </si>
  <si>
    <t>503 Av. Perito Moreno -</t>
  </si>
  <si>
    <t>Fantasio</t>
  </si>
  <si>
    <t>-31.4287864,-64.5091396</t>
  </si>
  <si>
    <t>HAK1TG</t>
  </si>
  <si>
    <t>The Burger Coco San Martin</t>
  </si>
  <si>
    <t>Enrique Marengo 4547, 1653 Villa Ballester, Argentina -</t>
  </si>
  <si>
    <t>-34.551633,-58.55319770000001</t>
  </si>
  <si>
    <t>HAUZTY</t>
  </si>
  <si>
    <t>Hanzo Sushi.</t>
  </si>
  <si>
    <t>Ayacucho 2866 San andres -</t>
  </si>
  <si>
    <t>-34.5671696,-58.5431915</t>
  </si>
  <si>
    <t>HTZQLH</t>
  </si>
  <si>
    <t>Pepperoni - Villa Carlos Paz</t>
  </si>
  <si>
    <t>Hipocrates 225, X5152 Villa Carlos Paz, Argentina -</t>
  </si>
  <si>
    <t>-31.4296567,-64.510576</t>
  </si>
  <si>
    <t>HTZVXY</t>
  </si>
  <si>
    <t>Helados Tentacion.</t>
  </si>
  <si>
    <t>Buenos Aires 7500 -</t>
  </si>
  <si>
    <t>-34.5293152,-58.5741224</t>
  </si>
  <si>
    <t>HTHN4I</t>
  </si>
  <si>
    <t>Miga Y Café</t>
  </si>
  <si>
    <t>Prof. Agustín Rogelio Vidal 3167, B1650 San Martín, Provincia de Buenos Aires, Argentina -</t>
  </si>
  <si>
    <t>-34.5692446,-58.5379339</t>
  </si>
  <si>
    <t>HTL0H0</t>
  </si>
  <si>
    <t>Ambre - Villa Allende.</t>
  </si>
  <si>
    <t>105 Santiago Derqui -</t>
  </si>
  <si>
    <t>Villa Allende</t>
  </si>
  <si>
    <t>-31.2850755,-64.29567</t>
  </si>
  <si>
    <t>HT8Q41</t>
  </si>
  <si>
    <t>Lucciano's Bajo Belgrano</t>
  </si>
  <si>
    <t>La Pampa 661, Ciudad Autónoma de Buenos Aires, Argentina -</t>
  </si>
  <si>
    <t>Belgrano</t>
  </si>
  <si>
    <t>-34.55398755,-58.43598325</t>
  </si>
  <si>
    <t>HTED73</t>
  </si>
  <si>
    <t>Hell´s Pizza - Alto Avellaneda</t>
  </si>
  <si>
    <t>GENERAL GUEMES 897 Piso:1 Dpto:241 -</t>
  </si>
  <si>
    <t>-34.676375,-58.3678773</t>
  </si>
  <si>
    <t>HTKP9X</t>
  </si>
  <si>
    <t>A Lo Coche -  Menu Y Sandwicheria</t>
  </si>
  <si>
    <t>Av. Solano Vera 2750 -</t>
  </si>
  <si>
    <t>-26.837798,-65.3074317</t>
  </si>
  <si>
    <t>HTK176</t>
  </si>
  <si>
    <t>Lo De Chelo Lomitos</t>
  </si>
  <si>
    <t>Av. 101 Dr. Ricardo Balbín 2720, B1650 Villa Ballester, Argentina -</t>
  </si>
  <si>
    <t>-34.5748346,-58.54948209999999</t>
  </si>
  <si>
    <t>HTZTBD</t>
  </si>
  <si>
    <t>KFC Florida</t>
  </si>
  <si>
    <t>Florida 267, Ciudad Autónoma de Buenos Aires, Argentina -</t>
  </si>
  <si>
    <t>Microcentro</t>
  </si>
  <si>
    <t>-34.6049722,-58.37497339999999</t>
  </si>
  <si>
    <t>4MFV3T</t>
  </si>
  <si>
    <t>Natural Life - Ballester 2</t>
  </si>
  <si>
    <t>Pacífico Rodríguez 4621, Villa Ballester, Provincia de Buenos Aires. -</t>
  </si>
  <si>
    <t>-34.5504479,-58.5529136</t>
  </si>
  <si>
    <t>HT4E21</t>
  </si>
  <si>
    <t>Che Muzza - San Pedrito</t>
  </si>
  <si>
    <t>HT6BHG</t>
  </si>
  <si>
    <t>Las Mellis Comida Casera</t>
  </si>
  <si>
    <t>Los Fresnos 370, X5152 Villa Carlos Paz, Argentina -</t>
  </si>
  <si>
    <t>-31.423187,-64.5204344</t>
  </si>
  <si>
    <t>HTL7B3</t>
  </si>
  <si>
    <t>Nyks Pancheria Sandwichs &amp; Café</t>
  </si>
  <si>
    <t>Lavalle 2701 Villa Ballester -</t>
  </si>
  <si>
    <t>-34.548579,-58.5555467</t>
  </si>
  <si>
    <t>HTH812</t>
  </si>
  <si>
    <t>Brazas Serranas.</t>
  </si>
  <si>
    <t>Av. Ramón J. Cárcano 2442, X5152 Villa Carlos Paz, Argentina -</t>
  </si>
  <si>
    <t>Playas de Oro</t>
  </si>
  <si>
    <t>-31.4527215,-64.50828609999999</t>
  </si>
  <si>
    <t>HTKK6F</t>
  </si>
  <si>
    <t>Good Shit Burger</t>
  </si>
  <si>
    <t>Av. Uruguay 493, X5152 Villa Carlos Paz, Córdoba, Argentina -</t>
  </si>
  <si>
    <t>Centro Este</t>
  </si>
  <si>
    <t>-31.41622305,-64.4940837</t>
  </si>
  <si>
    <t>HTK1VA</t>
  </si>
  <si>
    <t>Panadería - Confitería Venecia  San Martin.</t>
  </si>
  <si>
    <t>SAENZ PEÑA 2762 -</t>
  </si>
  <si>
    <t>Villa Maipú</t>
  </si>
  <si>
    <t>-34.5672819,-58.5341041</t>
  </si>
  <si>
    <t>HTKEKQ</t>
  </si>
  <si>
    <t>Ypf Full Nicaragua</t>
  </si>
  <si>
    <t>Av. Juan B. Justo 1215, C1414 Cdad. Autónoma de Buenos Aires, Argentina -</t>
  </si>
  <si>
    <t>-34.5831304,-58.4321612</t>
  </si>
  <si>
    <t>HTDIJ3</t>
  </si>
  <si>
    <t>El Club De La Milanesa Mar Del Plata 2 Pollo</t>
  </si>
  <si>
    <t>Av. Constitución 5509, B7600, Mar del Plata, Provincia de Buenos Aires -</t>
  </si>
  <si>
    <t>Mar del Plata</t>
  </si>
  <si>
    <t>Caisamar y Estrada</t>
  </si>
  <si>
    <t>-37.9626851,-57.5586507</t>
  </si>
  <si>
    <t>HTK6LT</t>
  </si>
  <si>
    <t>Niponsushi</t>
  </si>
  <si>
    <t>Jean Jaurés 2829, B1651 Villa San Andrés, Argentina -</t>
  </si>
  <si>
    <t>-34.556422,-58.5479189</t>
  </si>
  <si>
    <t>HTDIYI</t>
  </si>
  <si>
    <t>El Club De La Milanesa Mar Del Plata Pollo</t>
  </si>
  <si>
    <t>Alvarado 1355, B7602HGA, Mar del Plata, Provincia de Buenos Aires -</t>
  </si>
  <si>
    <t>Leandro N Alem</t>
  </si>
  <si>
    <t>-38.0160057,-57.54277130000001</t>
  </si>
  <si>
    <t>HTKDFV</t>
  </si>
  <si>
    <t>Ypf Full Alcorta</t>
  </si>
  <si>
    <t>Av. Pres. Figueroa Alcorta 6608, C1428BCP Cdad. Autónoma de Buenos Aires, Argentina -</t>
  </si>
  <si>
    <t>-34.5510769,-58.4378236</t>
  </si>
  <si>
    <t>HTKLUJ</t>
  </si>
  <si>
    <t>El Club Del Wrap - Vcp Centro</t>
  </si>
  <si>
    <t>San Lorenzo 238, Villa Carlos Paz, Provincia de Córdoba, Argentina -</t>
  </si>
  <si>
    <t>-31.4235541,-64.49754779999999</t>
  </si>
  <si>
    <t>4MMHJU</t>
  </si>
  <si>
    <t>Res - Vdp</t>
  </si>
  <si>
    <t>Av. Nazca 4000, C1417 Cdad. Autónoma de Buenos Aires -</t>
  </si>
  <si>
    <t>-34.60670429332789,-58.43531692702241</t>
  </si>
  <si>
    <t>HTKSNC</t>
  </si>
  <si>
    <t>Miguitas. 675</t>
  </si>
  <si>
    <t>Las Heras 1658 san martin -</t>
  </si>
  <si>
    <t>-34.5756982,-58.5278705</t>
  </si>
  <si>
    <t>HT6JWJ</t>
  </si>
  <si>
    <t>Carolay Life Pizzas</t>
  </si>
  <si>
    <t>Washington 1414 entre Emilio Zola y Quintana -</t>
  </si>
  <si>
    <t>-34.5242034,-58.5641356</t>
  </si>
  <si>
    <t>HT6BAJ</t>
  </si>
  <si>
    <t>Tao Sushi 45</t>
  </si>
  <si>
    <t>Capdevila 5484 Casa, B1653 Villa Ballester, Argentina -</t>
  </si>
  <si>
    <t>-34.5376262,-58.5510133</t>
  </si>
  <si>
    <t>HTG3IE</t>
  </si>
  <si>
    <t>Green Eat - Bernal</t>
  </si>
  <si>
    <t>AVENIDA CASEROS 1750 Piso:PB Dpto:4 Y 5 -</t>
  </si>
  <si>
    <t>Don Bosco</t>
  </si>
  <si>
    <t>-34.7001597,-58.2886114</t>
  </si>
  <si>
    <t>HTE7LV</t>
  </si>
  <si>
    <t>Mood Pizza 176</t>
  </si>
  <si>
    <t>Tupungato 245, X5152 Villa Carlos Paz, Córdoba -</t>
  </si>
  <si>
    <t>-31.4259078,-64.4972664</t>
  </si>
  <si>
    <t>HK8OX4</t>
  </si>
  <si>
    <t>A Lo De Moni! - Rotiseria</t>
  </si>
  <si>
    <t>Ingeniero White 2299 -</t>
  </si>
  <si>
    <t>El Palomar</t>
  </si>
  <si>
    <t>-34.6351463,-58.5899631</t>
  </si>
  <si>
    <t>HTR2G5</t>
  </si>
  <si>
    <t>Chipi Go 814</t>
  </si>
  <si>
    <t>Venezuela 1515, C1095 Buenos Aires, Argentina -</t>
  </si>
  <si>
    <t>Monserrat</t>
  </si>
  <si>
    <t>-34.6145463,-58.38778900000001</t>
  </si>
  <si>
    <t>HTWIOU</t>
  </si>
  <si>
    <t>Helado Artesanal Bambino</t>
  </si>
  <si>
    <t>Av Córdoba 1750 Mercado san nicolas, C1061 Buenos Aires, Argentina -</t>
  </si>
  <si>
    <t>San Nicolás</t>
  </si>
  <si>
    <t>-34.5998099,-58.3920777</t>
  </si>
  <si>
    <t>HTTECF</t>
  </si>
  <si>
    <t>Coma Chile - Nueva Córdoba</t>
  </si>
  <si>
    <t>Chile 209 entre Ituzaingó y Chacabuco -</t>
  </si>
  <si>
    <t>Nueva Córdoba</t>
  </si>
  <si>
    <t>-31.4305812,-64.1869911</t>
  </si>
  <si>
    <t>HTT6N9</t>
  </si>
  <si>
    <t>Sopa Take Away</t>
  </si>
  <si>
    <t>Sarmiento 777 -</t>
  </si>
  <si>
    <t>-32.9460332,-60.63800440000001</t>
  </si>
  <si>
    <t>4MV4ZH</t>
  </si>
  <si>
    <t>Dia - Chacarita (350)</t>
  </si>
  <si>
    <t>AV ALVAREZ THOMAS 849 -</t>
  </si>
  <si>
    <t>-34.5793942,-58.4538793</t>
  </si>
  <si>
    <t>HTKILS</t>
  </si>
  <si>
    <t>Hotel Almeria</t>
  </si>
  <si>
    <t>Vicente López 146, A4400 Salta, Argentina -</t>
  </si>
  <si>
    <t>Salta</t>
  </si>
  <si>
    <t>-24.788497,-65.4053596</t>
  </si>
  <si>
    <t>HTRA4Z</t>
  </si>
  <si>
    <t>Medialunas Point - Flores</t>
  </si>
  <si>
    <t>210 Pedernera -</t>
  </si>
  <si>
    <t>-34.6318463,-58.4629452</t>
  </si>
  <si>
    <t>HTPRUM</t>
  </si>
  <si>
    <t>El Sazón De Las Suárez</t>
  </si>
  <si>
    <t>San José 1725 Piso 5 Apto C, C1136 Buenos Aires, Argentina -</t>
  </si>
  <si>
    <t>Constitución</t>
  </si>
  <si>
    <t>-34.6287787,-58.3857939</t>
  </si>
  <si>
    <t>HT4BIW</t>
  </si>
  <si>
    <t>The Perfect Roll</t>
  </si>
  <si>
    <t>Los Juncos 709, A4400 Salta, Argentina -</t>
  </si>
  <si>
    <t>Tres Cerritos</t>
  </si>
  <si>
    <t>-24.7613976,-65.3927338</t>
  </si>
  <si>
    <t>HTHDW7</t>
  </si>
  <si>
    <t>Pizzas Rafita</t>
  </si>
  <si>
    <t>Madreselva 1284, B1607 Villa Adelina, Argentina -</t>
  </si>
  <si>
    <t>Villa Adelina (San Isidro)</t>
  </si>
  <si>
    <t>-34.509647,-58.5472779</t>
  </si>
  <si>
    <t>HTPPHY</t>
  </si>
  <si>
    <t>Desafío Gastronómico</t>
  </si>
  <si>
    <t>Gaboto 7782, B7608 Mar del Plata, Argentina -</t>
  </si>
  <si>
    <t>Santa Rita</t>
  </si>
  <si>
    <t>-38.0120807,-57.58405289999999</t>
  </si>
  <si>
    <t>4MV4RT</t>
  </si>
  <si>
    <t>Dia - Florida (84)</t>
  </si>
  <si>
    <t>SAN MARTIN 2269 -</t>
  </si>
  <si>
    <t>Florida</t>
  </si>
  <si>
    <t>-34.5284268,-58.49335579999999</t>
  </si>
  <si>
    <t>HPFD4S</t>
  </si>
  <si>
    <t>Pan Y Vino - Sandwicheria.</t>
  </si>
  <si>
    <t>Av. Pueyrredón 1566 -</t>
  </si>
  <si>
    <t>Recoleta</t>
  </si>
  <si>
    <t>-34.5927477,-58.40177430000001</t>
  </si>
  <si>
    <t>HP713L</t>
  </si>
  <si>
    <t>Permitidos .</t>
  </si>
  <si>
    <t>M. A. Gorosito 856, B1661 Bella Vista, Argentina -</t>
  </si>
  <si>
    <t>San Miguel</t>
  </si>
  <si>
    <t>Bella Vista</t>
  </si>
  <si>
    <t>-34.5566345,-58.6786129</t>
  </si>
  <si>
    <t>HTTEFK</t>
  </si>
  <si>
    <t>Picada Express.</t>
  </si>
  <si>
    <t>Maestro Ángel D'Elía 2875, B1663 San Miguel, Argentina -</t>
  </si>
  <si>
    <t>-34.5311913,-58.7244219</t>
  </si>
  <si>
    <t>HTZ1H6</t>
  </si>
  <si>
    <t>La Pasta De La Nonna</t>
  </si>
  <si>
    <t>Mármol 734, B1661 Bella Vista, Argentina -</t>
  </si>
  <si>
    <t>-34.558408,-58.6843829</t>
  </si>
  <si>
    <t>HTPGQ8</t>
  </si>
  <si>
    <t>Mi Barrio Bar</t>
  </si>
  <si>
    <t>Jujuy 2610 -</t>
  </si>
  <si>
    <t>Alta Córdoba</t>
  </si>
  <si>
    <t>-31.3842641,-64.1808059</t>
  </si>
  <si>
    <t>HT4ENL</t>
  </si>
  <si>
    <t>Oreja Negra Cafetería De Especialidad</t>
  </si>
  <si>
    <t>oroño 1189 -</t>
  </si>
  <si>
    <t>-32.9486371,-60.6545645</t>
  </si>
  <si>
    <t>HTTDCT</t>
  </si>
  <si>
    <t>Pizza Cheff - Wilde</t>
  </si>
  <si>
    <t>153 Bahía Blanca -</t>
  </si>
  <si>
    <t>Wilde</t>
  </si>
  <si>
    <t>-34.700822,-58.3180214</t>
  </si>
  <si>
    <t>HTPNA4</t>
  </si>
  <si>
    <t>Varieté - San Cristobal.</t>
  </si>
  <si>
    <t>MORENO 3358 -</t>
  </si>
  <si>
    <t>Almagro</t>
  </si>
  <si>
    <t>-34.6143053,-58.413798</t>
  </si>
  <si>
    <t>HTPKV5</t>
  </si>
  <si>
    <t>Rene Patisserie - 100 Libre De Gluten</t>
  </si>
  <si>
    <t>Italia 1070 Renata 2, timbre 7, B1718 San Antonio de Padua, Argentina -</t>
  </si>
  <si>
    <t>San Antonio de Padua</t>
  </si>
  <si>
    <t>-34.6673529,-58.7025409</t>
  </si>
  <si>
    <t>HTRCNQ</t>
  </si>
  <si>
    <t>El Club Del Wrap - La Plata</t>
  </si>
  <si>
    <t>Diagonal 74 1451, BZK, La Plata, Provincia de Buenos Aires, Argentina -</t>
  </si>
  <si>
    <t>-34.9149532,-57.9551724</t>
  </si>
  <si>
    <t>4MV4RW</t>
  </si>
  <si>
    <t>Dia - Colegiales (784)</t>
  </si>
  <si>
    <t>CABILDO 1168 -</t>
  </si>
  <si>
    <t>-34.568924,-58.4480811</t>
  </si>
  <si>
    <t>HTPKV1</t>
  </si>
  <si>
    <t>Tostado Villa Carlos Paz</t>
  </si>
  <si>
    <t>Av. 9 de Julio 21, Villa Carlos Paz, Provincia de Córdoba, Argentina -</t>
  </si>
  <si>
    <t>-31.4201949,-64.4997047</t>
  </si>
  <si>
    <t>HTT8FW</t>
  </si>
  <si>
    <t>Fresia Bakery</t>
  </si>
  <si>
    <t>Arata 1055, B1611 Don Torcuato, Argentina -</t>
  </si>
  <si>
    <t>Don Torcuato</t>
  </si>
  <si>
    <t>-34.4904556,-58.63501109999999</t>
  </si>
  <si>
    <t>HTPKVF</t>
  </si>
  <si>
    <t>Tostado Nuevo Centro</t>
  </si>
  <si>
    <t>Av. Duarte Quirós 1400, Ciudad de Córdoba, Provincia de Córdoba, Argentina -</t>
  </si>
  <si>
    <t>Quinta Santa Ana</t>
  </si>
  <si>
    <t>-31.4129505,-64.2045224</t>
  </si>
  <si>
    <t>HPHNHE</t>
  </si>
  <si>
    <t>Dolce Rosmi</t>
  </si>
  <si>
    <t>Ituzaingo 784, X5000 Córdoba, Argentina -</t>
  </si>
  <si>
    <t>-31.4259495,-64.1857131</t>
  </si>
  <si>
    <t>HTPJTN</t>
  </si>
  <si>
    <t>Freddo Libertador</t>
  </si>
  <si>
    <t>Av. del Libertador 5200, Ciudad Autónoma de Buenos Aires, Argentina -</t>
  </si>
  <si>
    <t>-34.562882,-58.43957729999999</t>
  </si>
  <si>
    <t>HTKL4G</t>
  </si>
  <si>
    <t>Kiosco Flash Colegiales</t>
  </si>
  <si>
    <t>Kiosks</t>
  </si>
  <si>
    <t>Av. Federico Lacroze 2422, Colegiales, CABA -</t>
  </si>
  <si>
    <t>-34.5704637,-58.44494069999999</t>
  </si>
  <si>
    <t>HTTBME</t>
  </si>
  <si>
    <t>Famailla</t>
  </si>
  <si>
    <t>Paraná 6331, B1607 Villa Adelina, Argentina -</t>
  </si>
  <si>
    <t>-34.5243898,-58.5472223</t>
  </si>
  <si>
    <t>HTHCOT</t>
  </si>
  <si>
    <t>El Banquete Del Guerra</t>
  </si>
  <si>
    <t>12 de Octubre 120, B8000 Bahía Blanca, Argentina -</t>
  </si>
  <si>
    <t>Bahía Blanca</t>
  </si>
  <si>
    <t>-38.7110889,-62.260053</t>
  </si>
  <si>
    <t>HTRFLB</t>
  </si>
  <si>
    <t>Tigre Morado Nuñez 594</t>
  </si>
  <si>
    <t>Besares 1700, C1429DHC Cdad. Autónoma de Buenos Aires, Argentina -</t>
  </si>
  <si>
    <t>Núñez</t>
  </si>
  <si>
    <t>-34.5421683,-58.46505009999999</t>
  </si>
  <si>
    <t>HTTDLM</t>
  </si>
  <si>
    <t>Date El Gusto 821</t>
  </si>
  <si>
    <t>República de Costa Rica 1845, B1807 Esteban Echeverría, Argentina -</t>
  </si>
  <si>
    <t>Canning</t>
  </si>
  <si>
    <t>-34.8529322,-58.4954364</t>
  </si>
  <si>
    <t>HTRLTN</t>
  </si>
  <si>
    <t>Origen - Canning</t>
  </si>
  <si>
    <t>Sgto. Cabral 3418, B1804 Canning, Argentina -</t>
  </si>
  <si>
    <t>Esteban Echevarría</t>
  </si>
  <si>
    <t>-34.867787,-58.4931695</t>
  </si>
  <si>
    <t>HTRST3</t>
  </si>
  <si>
    <t>Noahs - Malabia</t>
  </si>
  <si>
    <t>Malabia 1670, C1414DMH Cdad. Autónoma de Buenos Aires, Argentina -</t>
  </si>
  <si>
    <t>-34.5902344,-58.42643949999999</t>
  </si>
  <si>
    <t>HTAHU5</t>
  </si>
  <si>
    <t>Entre Rios - Castelar</t>
  </si>
  <si>
    <t>Gdor. Inocencio Arias 3152, B1712 Castelar, Argentina -</t>
  </si>
  <si>
    <t>-34.6494174,-58.6530199</t>
  </si>
  <si>
    <t>HTR2L8</t>
  </si>
  <si>
    <t>Vale Tentación</t>
  </si>
  <si>
    <t>Perito Francisco Moreno 299, A4408 Salta, Argentina -</t>
  </si>
  <si>
    <t>Universitario</t>
  </si>
  <si>
    <t>-24.7340077,-65.3983901</t>
  </si>
  <si>
    <t>HTP82Z</t>
  </si>
  <si>
    <t>El Palacio Del Pollo Broaster</t>
  </si>
  <si>
    <t>Av. Dorrego 785, C1414 Buenos Aires, Argentina -</t>
  </si>
  <si>
    <t>Villa Crespo</t>
  </si>
  <si>
    <t>-34.592115,-58.44778110000001</t>
  </si>
  <si>
    <t>HTPJF4</t>
  </si>
  <si>
    <t>La Nueva Casa De Tafi</t>
  </si>
  <si>
    <t>Av. Aconquija 1812, T4107 Tucumán, Argentina -</t>
  </si>
  <si>
    <t>-26.8132804,-65.2951238</t>
  </si>
  <si>
    <t>HTZAKY</t>
  </si>
  <si>
    <t>Ciello</t>
  </si>
  <si>
    <t>España 2035 Portón Negro a Mano Izquierda, T4001 San Miguel De Tucumán, Argentina -</t>
  </si>
  <si>
    <t>San Miguel de Tucumán</t>
  </si>
  <si>
    <t>El Bosque</t>
  </si>
  <si>
    <t>-26.8124734,-65.224784</t>
  </si>
  <si>
    <t>HTPGCU</t>
  </si>
  <si>
    <t>Twiga Cafe</t>
  </si>
  <si>
    <t>Colectora Oeste Ramal Escobar km 54, B1625 Belén de Escobar, Argentina -</t>
  </si>
  <si>
    <t>-34.3304909,-58.83613639999999</t>
  </si>
  <si>
    <t>HTRT9K</t>
  </si>
  <si>
    <t>Fuera Gluten</t>
  </si>
  <si>
    <t>República Oriental del Uruguay 847, B1708 Morón, Argentina -</t>
  </si>
  <si>
    <t>-34.6577005,-58.61778890000001</t>
  </si>
  <si>
    <t>HP7HFV</t>
  </si>
  <si>
    <t>La Dulce Villa Luro</t>
  </si>
  <si>
    <t>Av. Rivadavia 9104, C1407 Buenos Aires, Argentina -</t>
  </si>
  <si>
    <t>Vélez Sársfield</t>
  </si>
  <si>
    <t>-34.6364528,-58.4919617</t>
  </si>
  <si>
    <t>HTA0XH</t>
  </si>
  <si>
    <t>Handy Pizza - Suc Godoy Cruz-</t>
  </si>
  <si>
    <t>Paso de los Andes 998, M5501 Godoy Cruz, Mendoza -</t>
  </si>
  <si>
    <t>Godoy Cruz</t>
  </si>
  <si>
    <t>Ciudad de Godoy Cruz</t>
  </si>
  <si>
    <t>-32.91519949999999,-68.85963723068848</t>
  </si>
  <si>
    <t>4M7QMO</t>
  </si>
  <si>
    <t>Hamburguesas Maradona - El Palomar</t>
  </si>
  <si>
    <t>Blandengues 685 -</t>
  </si>
  <si>
    <t>-34.6277951,-58.6194426</t>
  </si>
  <si>
    <t>HTH8O9</t>
  </si>
  <si>
    <t>Hey Muzza - Tigre 3</t>
  </si>
  <si>
    <t>SANTA MARIA DE LAS CONCHAS 2105 -</t>
  </si>
  <si>
    <t>Rincón de Millberg</t>
  </si>
  <si>
    <t>-34.42236620000001,-58.59138180000001</t>
  </si>
  <si>
    <t>HPGKG6</t>
  </si>
  <si>
    <t>Yami Pastelería Artesanal</t>
  </si>
  <si>
    <t>Paso de los Andes 2287, M5500 Mendoza, Argentina -</t>
  </si>
  <si>
    <t>6ta Sección Residencial Norte</t>
  </si>
  <si>
    <t>-32.8742876,-68.8554809</t>
  </si>
  <si>
    <t>HTTDAK</t>
  </si>
  <si>
    <t>Salsas Burger</t>
  </si>
  <si>
    <t>Pueyrredón 970, A4400 Salta, Argentina -</t>
  </si>
  <si>
    <t>-24.778169,-65.40549349999999</t>
  </si>
  <si>
    <t>HTKTTF</t>
  </si>
  <si>
    <t>Brío Café</t>
  </si>
  <si>
    <t>Teodoro Vilardebó 2100, C1416 Buenos Aires, Argentina -</t>
  </si>
  <si>
    <t>Villa Santa Rita</t>
  </si>
  <si>
    <t>-34.6120815,-58.49139109999999</t>
  </si>
  <si>
    <t>HTTEZL</t>
  </si>
  <si>
    <t>Street Wok.</t>
  </si>
  <si>
    <t>Jujuy 1040 -</t>
  </si>
  <si>
    <t>-34.6407723,-58.62329030000001</t>
  </si>
  <si>
    <t>HTW0XH</t>
  </si>
  <si>
    <t>Pepecito Parque Sarmiento</t>
  </si>
  <si>
    <t>Deodoro Roca 965 -</t>
  </si>
  <si>
    <t>Parque Sarmiento</t>
  </si>
  <si>
    <t>-31.4303903,-64.1793479</t>
  </si>
  <si>
    <t>HTTK9Z</t>
  </si>
  <si>
    <t>Amepi Ptisserie</t>
  </si>
  <si>
    <t>Serrano 512, B1828IEL Banfield, Provincia de Buenos Aires -</t>
  </si>
  <si>
    <t>-34.7402782,-58.38792369999999</t>
  </si>
  <si>
    <t>HTAUCP</t>
  </si>
  <si>
    <t>Elbarrigas</t>
  </si>
  <si>
    <t>Grito de Alcorta 2530, B1708 Morón, Argentina -</t>
  </si>
  <si>
    <t>-34.6731641,-58.6209861</t>
  </si>
  <si>
    <t>HTWO4A</t>
  </si>
  <si>
    <t>Churros El Topo- Nazarre</t>
  </si>
  <si>
    <t>Comuna 11, Nazarre 3276, C1417DXD Cdad. Autónoma de Buenos Aires, Argentina -</t>
  </si>
  <si>
    <t>Villa del Parque</t>
  </si>
  <si>
    <t>-34.6030029,-58.4954943</t>
  </si>
  <si>
    <t>HTT393</t>
  </si>
  <si>
    <t>Peperoncino.</t>
  </si>
  <si>
    <t>P. Agrelo 333, B1872 Sarandí, Argentina -</t>
  </si>
  <si>
    <t>-34.676652,-58.3424798</t>
  </si>
  <si>
    <t>HTAO52</t>
  </si>
  <si>
    <t>Heiwa Sushi De Autor .</t>
  </si>
  <si>
    <t>Martín Rodríguez 1106, B1644CCZ Victoria, Provincia de Buenos Aires -</t>
  </si>
  <si>
    <t>San Fernando</t>
  </si>
  <si>
    <t>Victoria</t>
  </si>
  <si>
    <t>-34.4546943,-58.53744930000001</t>
  </si>
  <si>
    <t>HTPNN4</t>
  </si>
  <si>
    <t>Pasta Fusión Derqui</t>
  </si>
  <si>
    <t>Santiago Derqui 85 -</t>
  </si>
  <si>
    <t>-31.42584189999999,-64.1867616</t>
  </si>
  <si>
    <t>HTPMA0</t>
  </si>
  <si>
    <t>Pizzas Cala</t>
  </si>
  <si>
    <t>Pringles 927, B1663 San Miguel, Argentina -</t>
  </si>
  <si>
    <t>-34.5349408,-58.7170511</t>
  </si>
  <si>
    <t>HTPIN6</t>
  </si>
  <si>
    <t>Pizza Fulbo</t>
  </si>
  <si>
    <t>C. 115 1997, B1884 Berazategui Oeste, Argentina -</t>
  </si>
  <si>
    <t>Berazategui</t>
  </si>
  <si>
    <t>-34.776249,-58.24541</t>
  </si>
  <si>
    <t>HTTKBQ</t>
  </si>
  <si>
    <t>Beisson.</t>
  </si>
  <si>
    <t>Kennedy 50 local 3 -</t>
  </si>
  <si>
    <t>-34.3260942,-58.7586526</t>
  </si>
  <si>
    <t>HTR79N</t>
  </si>
  <si>
    <t>Acá Nada Es Simple</t>
  </si>
  <si>
    <t>Cochabamba 2156 depto 3E, B1650 San Martín, Argentina -</t>
  </si>
  <si>
    <t>-34.5740794,-58.5362532</t>
  </si>
  <si>
    <t>HTT6Z7</t>
  </si>
  <si>
    <t>Heladeria Venezia - Av. Libertad</t>
  </si>
  <si>
    <t>87 Av. Libertad -</t>
  </si>
  <si>
    <t>Domingo F Sarmiento</t>
  </si>
  <si>
    <t>-31.4217338,-64.4929238</t>
  </si>
  <si>
    <t>HTPRJC</t>
  </si>
  <si>
    <t>Magnolia Café - Mendoza</t>
  </si>
  <si>
    <t>Av. San Martín Sur 2495, M5501 Mendoza, Argentina -</t>
  </si>
  <si>
    <t>Gobernador Benegas</t>
  </si>
  <si>
    <t>-32.9505265,-68.8549213</t>
  </si>
  <si>
    <t>4M7QML</t>
  </si>
  <si>
    <t>Wraps Maradona - El Palomar</t>
  </si>
  <si>
    <t>HTWIK9</t>
  </si>
  <si>
    <t>Azúcar Morena. 723</t>
  </si>
  <si>
    <t>Manuel Ugarte 2115. Dpto 2C. Belgrano, CABA. -</t>
  </si>
  <si>
    <t>-34.5548331,-58.45896500000001</t>
  </si>
  <si>
    <t>HPJF7M</t>
  </si>
  <si>
    <t>Las Facturitas De Lucho</t>
  </si>
  <si>
    <t>Saavedra 52, S2300 Rafaela, Argentina -</t>
  </si>
  <si>
    <t>Rafaela</t>
  </si>
  <si>
    <t>-31.25348159999999,-61.49001490000001</t>
  </si>
  <si>
    <t>HTTDZ1</t>
  </si>
  <si>
    <t>B&amp;m Sandwicheria.</t>
  </si>
  <si>
    <t>Astigueta 712 -</t>
  </si>
  <si>
    <t>San Antonio</t>
  </si>
  <si>
    <t>-24.8105173,-65.41282919999999</t>
  </si>
  <si>
    <t>HTHF5J</t>
  </si>
  <si>
    <t>Forno 1977  Coffee &amp; Sandwichs - Colegiales</t>
  </si>
  <si>
    <t>Vidal 1416 -</t>
  </si>
  <si>
    <t>-34.5695689,-58.4545012</t>
  </si>
  <si>
    <t>HTTDD7</t>
  </si>
  <si>
    <t>Quinta Estacion</t>
  </si>
  <si>
    <t>Pueyrredón 740, M5502 Mendoza, Argentina -</t>
  </si>
  <si>
    <t>5ta Sección Residencial Sur</t>
  </si>
  <si>
    <t>-32.8995296,-68.8615597</t>
  </si>
  <si>
    <t>HTPIE1</t>
  </si>
  <si>
    <t>Luleo Sabor A Barrio -</t>
  </si>
  <si>
    <t>C. 528 953, B1906 La Plata, Argentina -</t>
  </si>
  <si>
    <t>Tolosa</t>
  </si>
  <si>
    <t>-34.8947274,-57.9711373</t>
  </si>
  <si>
    <t>HTRKUI</t>
  </si>
  <si>
    <t>Helados Del Oeste 488</t>
  </si>
  <si>
    <t>Blvd. Juan Manuel de Rosas 102 Esquina Zabala y Juan Manuel De Rosas, B1708 Morón, Argentina -</t>
  </si>
  <si>
    <t>-34.6410511,-58.6246806</t>
  </si>
  <si>
    <t>HTGTEZ</t>
  </si>
  <si>
    <t>Don Pocho</t>
  </si>
  <si>
    <t>Tiburcio Benegas 2001, M5500 Mendoza -</t>
  </si>
  <si>
    <t>-32.87814709638669,-68.84988952394257</t>
  </si>
  <si>
    <t>HTWRJT</t>
  </si>
  <si>
    <t>Comida Rapida Los Díaz.</t>
  </si>
  <si>
    <t>Lago Hermoso 2340, M5501 Mendoza, Argentina -</t>
  </si>
  <si>
    <t>Presidente Sarmiento</t>
  </si>
  <si>
    <t>-32.944955,-68.8744069</t>
  </si>
  <si>
    <t>HTP88W</t>
  </si>
  <si>
    <t>Casapan Outlet</t>
  </si>
  <si>
    <t>Av. República de Siria 2350, T4001 San Miguel de Tucumán, Tucumán -</t>
  </si>
  <si>
    <t>Villa Urquiza</t>
  </si>
  <si>
    <t>-26.7994139,-65.2035787</t>
  </si>
  <si>
    <t>HTT6PI</t>
  </si>
  <si>
    <t>Mostaza Los Hornos - Liviano</t>
  </si>
  <si>
    <t>AMS, Av. 137 1598, B1910 Los Hornos, Provincia de Buenos Aires -</t>
  </si>
  <si>
    <t>Los Hornos</t>
  </si>
  <si>
    <t>-34.9531782,-57.96726959999999</t>
  </si>
  <si>
    <t>HTZOMS</t>
  </si>
  <si>
    <t>Fresh Food 145</t>
  </si>
  <si>
    <t>Av. Luro 3091 -</t>
  </si>
  <si>
    <t>La Perla</t>
  </si>
  <si>
    <t>-37.9959963,-57.5509659</t>
  </si>
  <si>
    <t>4M7K3Y</t>
  </si>
  <si>
    <t>Wrap Boom - Lomas De Zamora</t>
  </si>
  <si>
    <t>Av. Colombres 810, B1832 Lomas de Zamora, Argentina -</t>
  </si>
  <si>
    <t>-34.7632702,-58.40950460000001</t>
  </si>
  <si>
    <t>HTPR09</t>
  </si>
  <si>
    <t>Casaloldo Pizzas.</t>
  </si>
  <si>
    <t>Blas Pascal 5715 -</t>
  </si>
  <si>
    <t>Villa Belgrano</t>
  </si>
  <si>
    <t>-31.3552864,-64.2506166</t>
  </si>
  <si>
    <t>HTT6BE</t>
  </si>
  <si>
    <t>Mostaza Los Hornos - Café &amp; Postres</t>
  </si>
  <si>
    <t>HTR2BY</t>
  </si>
  <si>
    <t>Casapan Paseo Heller..</t>
  </si>
  <si>
    <t>Av. Aconquija 598, T4107 Tucumán, Argentina -</t>
  </si>
  <si>
    <t>-26.8168536,-65.27449399999999</t>
  </si>
  <si>
    <t>HTPYXM</t>
  </si>
  <si>
    <t>Cafetería Panther</t>
  </si>
  <si>
    <t>Presidente juan domingo peron 1641 -</t>
  </si>
  <si>
    <t>-34.6634716,-58.5737412</t>
  </si>
  <si>
    <t>HTPFB1</t>
  </si>
  <si>
    <t>Kiosco Adri</t>
  </si>
  <si>
    <t>Fragata Argentina 1581, B1629 Pilar, Argentina -</t>
  </si>
  <si>
    <t>-34.471595,-58.91019429999999</t>
  </si>
  <si>
    <t>HTPRUH</t>
  </si>
  <si>
    <t>Mi Burger .</t>
  </si>
  <si>
    <t>La Rioja 291 Local 3 -</t>
  </si>
  <si>
    <t>Benavidez</t>
  </si>
  <si>
    <t>-34.41099210000001,-58.6879995</t>
  </si>
  <si>
    <t>HTPMHS</t>
  </si>
  <si>
    <t>Alwok - Restaurante Chino Peruano</t>
  </si>
  <si>
    <t>Av. Lope de Vega 2711 Entre Simbron y Tinogasta, C1417 Buenos Aires, Argentina -</t>
  </si>
  <si>
    <t>Villa Real</t>
  </si>
  <si>
    <t>-34.6169389,-58.5210524</t>
  </si>
  <si>
    <t>HTZ67V</t>
  </si>
  <si>
    <t>Flymorfi - Moreno</t>
  </si>
  <si>
    <t>Av. del Libertador 38, B1744AAN Moreno, Provincia de Buenos Aires, Argentina -</t>
  </si>
  <si>
    <t>-34.6492233,-58.79158529999999</t>
  </si>
  <si>
    <t>HP6T2S</t>
  </si>
  <si>
    <t>Extranjero.</t>
  </si>
  <si>
    <t>Honduras 5318 -</t>
  </si>
  <si>
    <t>-34.5867477,-58.4333012</t>
  </si>
  <si>
    <t>HTTBWI</t>
  </si>
  <si>
    <t>Panko Rafaela</t>
  </si>
  <si>
    <t>José Ingeniero 91, Rafaela -</t>
  </si>
  <si>
    <t>-31.2532584,-61.48327549999999</t>
  </si>
  <si>
    <t>HTLM4B</t>
  </si>
  <si>
    <t>Aroma De Brasas</t>
  </si>
  <si>
    <t>Río Atuel 900, M5504 Mendoza, Argentina -</t>
  </si>
  <si>
    <t>-32.9466797,-68.8563753</t>
  </si>
  <si>
    <t>HKH6XR</t>
  </si>
  <si>
    <t>Mar De Ollas</t>
  </si>
  <si>
    <t>Calle 39 839 -</t>
  </si>
  <si>
    <t>-34.9108902,-57.9659185</t>
  </si>
  <si>
    <t>HTPI73</t>
  </si>
  <si>
    <t>Dulce Hora Urquiza.</t>
  </si>
  <si>
    <t>Juramento 4823 -</t>
  </si>
  <si>
    <t>-34.5755435,-58.4798437</t>
  </si>
  <si>
    <t>HTA3FS</t>
  </si>
  <si>
    <t>Pin 9</t>
  </si>
  <si>
    <t>Avenida Juan Domingo Perón 2998, Yerba Buena, Tucumán, Argentina -</t>
  </si>
  <si>
    <t>-26.800207,-65.310625</t>
  </si>
  <si>
    <t>HTRRBY</t>
  </si>
  <si>
    <t>Via Napoli Quilmes</t>
  </si>
  <si>
    <t>Avelina Huisi de Seguí 1325, B1879 Quilmes, Argentina -</t>
  </si>
  <si>
    <t>Quilmes Oeste</t>
  </si>
  <si>
    <t>-34.7437373,-58.29805930000001</t>
  </si>
  <si>
    <t>HTRCPW</t>
  </si>
  <si>
    <t>Noah's Green Kitchen - La Plata Ii</t>
  </si>
  <si>
    <t>C. 9 750, B1900 La Plata, Provincia de Buenos Aires, Argentina -</t>
  </si>
  <si>
    <t>-34.914956,-57.9540219</t>
  </si>
  <si>
    <t>HTAOUP</t>
  </si>
  <si>
    <t>Tienda De Empanadas Godoy Cruz</t>
  </si>
  <si>
    <t>-32.91515446700054,-68.85961577301636</t>
  </si>
  <si>
    <t>HTTK2I</t>
  </si>
  <si>
    <t>La Celeste Minutas</t>
  </si>
  <si>
    <t>Carlos Calvo 1275, C1102 Buenos Aires, Argentina -</t>
  </si>
  <si>
    <t>-34.6196937,-58.3839615</t>
  </si>
  <si>
    <t>HTPS9Z</t>
  </si>
  <si>
    <t>Punto Pringles Sándwiches</t>
  </si>
  <si>
    <t>139 Cnel. Juan P. Pringles -</t>
  </si>
  <si>
    <t>General Paz</t>
  </si>
  <si>
    <t>-31.4147641,-64.1671391</t>
  </si>
  <si>
    <t>HTZ66E</t>
  </si>
  <si>
    <t>Tomasso - Moreno</t>
  </si>
  <si>
    <t>HTRSRC</t>
  </si>
  <si>
    <t>Perlatto Helados - Grand Bourg</t>
  </si>
  <si>
    <t>1304 El Callao -</t>
  </si>
  <si>
    <t>Grand Bourg</t>
  </si>
  <si>
    <t>-34.4879671,-58.72516839999999</t>
  </si>
  <si>
    <t>HTT81N</t>
  </si>
  <si>
    <t>Mostaza Los Hornos</t>
  </si>
  <si>
    <t>HTPCXZ</t>
  </si>
  <si>
    <t>Primavera - Bs As</t>
  </si>
  <si>
    <t>484 Tucuman -</t>
  </si>
  <si>
    <t>-34.4558493,-58.91150329999999</t>
  </si>
  <si>
    <t>HTPLAV</t>
  </si>
  <si>
    <t>Piccola Venezia  Ballester</t>
  </si>
  <si>
    <t>Pacífico Rodríguez 4780, B1653 Villa Ballester, Provincia de Buenos Aires, Argentina -</t>
  </si>
  <si>
    <t>-34.5498406,-58.5539842</t>
  </si>
  <si>
    <t>HTK1MQ</t>
  </si>
  <si>
    <t>Farmacia Elivam</t>
  </si>
  <si>
    <t>Pharmacy</t>
  </si>
  <si>
    <t>TUCUMAN 850 - ESQUINA : MISIONES
BELLA VISTA 
1661-BUENOS AIRES -</t>
  </si>
  <si>
    <t>-34.5619029,-58.67583519999999</t>
  </si>
  <si>
    <t>HTPJIR</t>
  </si>
  <si>
    <t>Florida Delivery</t>
  </si>
  <si>
    <t>Los Jazmines 2146, M5539 Mendoza, Argentina -</t>
  </si>
  <si>
    <t>Las Heras</t>
  </si>
  <si>
    <t>El Plumerillo</t>
  </si>
  <si>
    <t>-32.8653671,-68.81016389999999</t>
  </si>
  <si>
    <t>HTTBR2</t>
  </si>
  <si>
    <t>Panadería Del Centro Rafaela</t>
  </si>
  <si>
    <t>San Lorenzo 55, Rafaela -</t>
  </si>
  <si>
    <t>-31.2538724,-61.4875376</t>
  </si>
  <si>
    <t>HTLCPB</t>
  </si>
  <si>
    <t>Cero341 Pelegrini</t>
  </si>
  <si>
    <t>Av. Pellegrini 1385, S2000 Rosario, Argentina -</t>
  </si>
  <si>
    <t>-32.95670800000001,-60.64483239999999</t>
  </si>
  <si>
    <t>HTTBPP</t>
  </si>
  <si>
    <t>Rincon De Galletas</t>
  </si>
  <si>
    <t>San Lorenzo 143, Rafaela -</t>
  </si>
  <si>
    <t>-31.254713,-61.48778360000001</t>
  </si>
  <si>
    <t>HTRRGU</t>
  </si>
  <si>
    <t>Laca Mar Del Plata - Laboratorio Argentino De Cosmética Avanzada</t>
  </si>
  <si>
    <t>ENTRE RIOS 2920 - ENTRE LAS CALLES : ALVARADO Y CASTELLI
MAR DEL PLATA SUR
7600-BUENOS AIRES -</t>
  </si>
  <si>
    <t>General Roca</t>
  </si>
  <si>
    <t>-38.0113595,-57.5507832</t>
  </si>
  <si>
    <t>HTRRBJ</t>
  </si>
  <si>
    <t>Heladeria Sei Tu - Paunero</t>
  </si>
  <si>
    <t>De la Serna 2202, Gerli, Provincia de Buenos Aires, Argentina -</t>
  </si>
  <si>
    <t>Gerli</t>
  </si>
  <si>
    <t>-34.6934094,-58.3624148</t>
  </si>
  <si>
    <t>HTAW1G</t>
  </si>
  <si>
    <t>El Gordo Sabe - Flores -</t>
  </si>
  <si>
    <t>RIVADAVIA AV. 6900 -</t>
  </si>
  <si>
    <t>-34.628955,-58.46256200000001</t>
  </si>
  <si>
    <t>HTAO7L</t>
  </si>
  <si>
    <t>Mondra Belgrano</t>
  </si>
  <si>
    <t>Av. Virrey Vértiz 1622 -</t>
  </si>
  <si>
    <t>-34.5613053,-58.44469309999999</t>
  </si>
  <si>
    <t>HTR23A</t>
  </si>
  <si>
    <t>Burguer's Y Co</t>
  </si>
  <si>
    <t>Ituzaingo 5760, B1669 Del Viso, Argentina -</t>
  </si>
  <si>
    <t>-34.465377,-58.7902205</t>
  </si>
  <si>
    <t>HTTB61</t>
  </si>
  <si>
    <t>Sushi Lives Colegiales Ii.</t>
  </si>
  <si>
    <t>Av Federico Lacroze 3160 -</t>
  </si>
  <si>
    <t>-34.5776547,-58.44908339999999</t>
  </si>
  <si>
    <t>HTTEBX</t>
  </si>
  <si>
    <t>Diletto - Tapiales</t>
  </si>
  <si>
    <t>1331 Av. Boulogne Sur Mer -</t>
  </si>
  <si>
    <t>Tapiales</t>
  </si>
  <si>
    <t>-34.6974368,-58.5077178</t>
  </si>
  <si>
    <t>HT60VX</t>
  </si>
  <si>
    <t>El Patio Del Oso</t>
  </si>
  <si>
    <t>Maipú 1070, S2000 Rosario, Argentina -</t>
  </si>
  <si>
    <t>-32.9503692,-60.6361937</t>
  </si>
  <si>
    <t>HTWSAN</t>
  </si>
  <si>
    <t>X+! Pizza 341</t>
  </si>
  <si>
    <t>Av. del Bicentenario de la Batalla de Salta 603 El local se encuentra entrando por un pasillo y después a mano izquierda, A4400 Salta, Argentina -</t>
  </si>
  <si>
    <t>-24.7829047,-65.4033279</t>
  </si>
  <si>
    <t>HTRKR8</t>
  </si>
  <si>
    <t>Lo De Betty.</t>
  </si>
  <si>
    <t>Casacuberta 448, B1662 Muñiz, Argentina -</t>
  </si>
  <si>
    <t>Muñiz</t>
  </si>
  <si>
    <t>-34.5646877,-58.7148994</t>
  </si>
  <si>
    <t>4M7KB9</t>
  </si>
  <si>
    <t>Sushi Boom - Lomas De Zamora</t>
  </si>
  <si>
    <t>HTTBHQ</t>
  </si>
  <si>
    <t>Sushi Lives Caballito Ii.</t>
  </si>
  <si>
    <t>Guayaquil 894 -</t>
  </si>
  <si>
    <t>-34.6220462,-58.44067250000001</t>
  </si>
  <si>
    <t>HTTBTA</t>
  </si>
  <si>
    <t>La Churreria De Falucho 1926</t>
  </si>
  <si>
    <t>Falucho 1926 -</t>
  </si>
  <si>
    <t>-31.2540724,-61.5130969</t>
  </si>
  <si>
    <t>HTTB5Y</t>
  </si>
  <si>
    <t>Perdu Panadería-recta</t>
  </si>
  <si>
    <t>Av. Recta martinolli 8494 -</t>
  </si>
  <si>
    <t>El Refugio</t>
  </si>
  <si>
    <t>-31.3466169,-64.2807212</t>
  </si>
  <si>
    <t>HTTB8S</t>
  </si>
  <si>
    <t>Sushi Lives Recoleta Ii</t>
  </si>
  <si>
    <t>Av. Córdoba 2775 -</t>
  </si>
  <si>
    <t>-34.5978062,-58.4063115</t>
  </si>
  <si>
    <t>HTRFHE</t>
  </si>
  <si>
    <t>Fabric Sushi Nuñez 215</t>
  </si>
  <si>
    <t>HTPGU5</t>
  </si>
  <si>
    <t>Pizzería Oreganato .</t>
  </si>
  <si>
    <t>San Antonio 707, X5016BIO Córdoba -</t>
  </si>
  <si>
    <t>Residencial Vélez Sarsfield</t>
  </si>
  <si>
    <t>-31.4451514,-64.20515449999999</t>
  </si>
  <si>
    <t>HTPRMT</t>
  </si>
  <si>
    <t>Tequerock. Barrio Norte</t>
  </si>
  <si>
    <t>1034 Rodríguez Peña -</t>
  </si>
  <si>
    <t>-34.5967902,-58.3920359</t>
  </si>
  <si>
    <t>4M7K3T</t>
  </si>
  <si>
    <t>Explosion Sushi - Lomas De Zamora</t>
  </si>
  <si>
    <t>HP787Z</t>
  </si>
  <si>
    <t>Empanadas Melu.</t>
  </si>
  <si>
    <t>Concejal Sequeira 2614, B1714 Ituzaingó, Argentina -</t>
  </si>
  <si>
    <t>-34.6398786,-58.6917127</t>
  </si>
  <si>
    <t>HTWY55</t>
  </si>
  <si>
    <t>Postres&amp;co</t>
  </si>
  <si>
    <t>Av. de los Constituyentes 6020 -</t>
  </si>
  <si>
    <t>-34.5743334,-58.50618309999999</t>
  </si>
  <si>
    <t>HTPJM9</t>
  </si>
  <si>
    <t>Naga Smashed Burgers - Barrio Huaico .</t>
  </si>
  <si>
    <t>manzana 459A casa 30 -</t>
  </si>
  <si>
    <t>El Huaco Ampliación</t>
  </si>
  <si>
    <t>-24.7177264,-65.4165629</t>
  </si>
  <si>
    <t>HTPMHQ</t>
  </si>
  <si>
    <t>Owen Smash</t>
  </si>
  <si>
    <t>Colectora Nte. 767, B1646 San Fernando, Argentina -</t>
  </si>
  <si>
    <t>-34.4494225,-58.5774636</t>
  </si>
  <si>
    <t>HTPNAV</t>
  </si>
  <si>
    <t>Casa Sofia (microcentro).</t>
  </si>
  <si>
    <t>Av Santa Fe 1240 -</t>
  </si>
  <si>
    <t>Retiro</t>
  </si>
  <si>
    <t>-34.5958453,-58.38487099999999</t>
  </si>
  <si>
    <t>HTT8F5</t>
  </si>
  <si>
    <t>Las 3 Hermanas 221</t>
  </si>
  <si>
    <t>Crisólogo Larralde 6080, C1431 Buenos Aires, Argentina -</t>
  </si>
  <si>
    <t>-34.5676595,-58.5048367</t>
  </si>
  <si>
    <t>HTPYQA</t>
  </si>
  <si>
    <t>Misky Trilogia Latina</t>
  </si>
  <si>
    <t>Vedia 4482, C1430 Buenos Aires, Argentina -</t>
  </si>
  <si>
    <t>-34.5490475,-58.4949824</t>
  </si>
  <si>
    <t>HTP88M</t>
  </si>
  <si>
    <t>Nutravid</t>
  </si>
  <si>
    <t>Castelli 140
Ramos Mejía
Buenos Aires
Código Postal: 1704 -</t>
  </si>
  <si>
    <t>Ramos Mejía</t>
  </si>
  <si>
    <t>-34.6451618,-58.562269</t>
  </si>
  <si>
    <t>HTRLL7</t>
  </si>
  <si>
    <t>Poke Garden  - Ciudad</t>
  </si>
  <si>
    <t>Suipacha 571, M5500 Mendoza -</t>
  </si>
  <si>
    <t>-32.87735883003448,-68.85526275421446</t>
  </si>
  <si>
    <t>HTTBKP</t>
  </si>
  <si>
    <t>Sushi Lives Villa Urquiza Ii</t>
  </si>
  <si>
    <t>Av. Monroe 5379 -</t>
  </si>
  <si>
    <t>-34.5759563,-58.48952380000001</t>
  </si>
  <si>
    <t>HTPRBH</t>
  </si>
  <si>
    <t>Yorkies - Lanús</t>
  </si>
  <si>
    <t>Ituzaingo 1563 -</t>
  </si>
  <si>
    <t>-34.7101164,-58.3853083</t>
  </si>
  <si>
    <t>HTAU14</t>
  </si>
  <si>
    <t>El Buen Sabor Rotiseria</t>
  </si>
  <si>
    <t>Liniers 631, B2804 Campana, Argentina -</t>
  </si>
  <si>
    <t>Campana</t>
  </si>
  <si>
    <t>-34.1785176,-58.9564403</t>
  </si>
  <si>
    <t>HTWIBN</t>
  </si>
  <si>
    <t>Churrico Restaurante - Parque Central</t>
  </si>
  <si>
    <t>Las Cubas 404, M5502ASN Mendoza -</t>
  </si>
  <si>
    <t>1era Sección Parque Central</t>
  </si>
  <si>
    <t>-32.87499287045132,-68.84070029695893</t>
  </si>
  <si>
    <t>HTKPH2</t>
  </si>
  <si>
    <t>Pastas Cerviño</t>
  </si>
  <si>
    <t>Av. Brig. Gral. Juan Manuel de Rosas 237, B1832BHA Lomas del Mirador, Provincia de Buenos Aires, Argentina -</t>
  </si>
  <si>
    <t>-34.6635083,-58.5215438</t>
  </si>
  <si>
    <t>HTWS04</t>
  </si>
  <si>
    <t>Mi Vianda</t>
  </si>
  <si>
    <t>La Rioja 2911 Local 2 -</t>
  </si>
  <si>
    <t>-34.41095377972536,-58.68802471719665</t>
  </si>
  <si>
    <t>HTZKVC</t>
  </si>
  <si>
    <t>Pucará Restobar</t>
  </si>
  <si>
    <t>C. 361 A 1258 Esquina, puerta marrón, B1886 Ranelagh, Argentina -</t>
  </si>
  <si>
    <t>Ranelagh</t>
  </si>
  <si>
    <t>-34.7921697,-58.1991592</t>
  </si>
  <si>
    <t>HTRLSJ</t>
  </si>
  <si>
    <t>Japon In Box -  Funes -</t>
  </si>
  <si>
    <t>RN9 2083, S2132 Funes, Santa Fe -</t>
  </si>
  <si>
    <t>-32.92049,-60.817275</t>
  </si>
  <si>
    <t>HTPNZJ</t>
  </si>
  <si>
    <t>Tebbys Pizzas Shopping Wo.</t>
  </si>
  <si>
    <t>9 de Julio 21 -</t>
  </si>
  <si>
    <t>HTPRPV</t>
  </si>
  <si>
    <t>Buche Salumeria - Nazarre.</t>
  </si>
  <si>
    <t>3275 Nazarre -</t>
  </si>
  <si>
    <t>-34.6026846,-58.49564549999999</t>
  </si>
  <si>
    <t>4M2FE2</t>
  </si>
  <si>
    <t>Refugio Del Parque - San Martin</t>
  </si>
  <si>
    <t>Av San Martin 7300 -</t>
  </si>
  <si>
    <t>-34.5901664,-58.51669390000001</t>
  </si>
  <si>
    <t>HTA6TK</t>
  </si>
  <si>
    <t>Betanto Burger</t>
  </si>
  <si>
    <t>Juan Bautista Alberdi 715, B1707 Villa Sarmiento, Provincia de Buenos Aires -</t>
  </si>
  <si>
    <t>Villa Sarmiento</t>
  </si>
  <si>
    <t>-34.6339225,-58.5753858</t>
  </si>
  <si>
    <t>HTPSQP</t>
  </si>
  <si>
    <t>La Americana - Almagro</t>
  </si>
  <si>
    <t>Av Corrientes 3701 -</t>
  </si>
  <si>
    <t>-34.6033874,-58.4168676</t>
  </si>
  <si>
    <t>HTPKFW</t>
  </si>
  <si>
    <t>La Platense</t>
  </si>
  <si>
    <t>Av. Patria 229, X5000 Córdoba, Argentina -</t>
  </si>
  <si>
    <t>Patria</t>
  </si>
  <si>
    <t>-31.4109421,-64.15738019999999</t>
  </si>
  <si>
    <t>HTR5DF</t>
  </si>
  <si>
    <t>Don Lattanzio - Pastas Y Vinos</t>
  </si>
  <si>
    <t>AV. GOBERNADOR VERGARA 3112, HURLIGHAM, CPA B1686, BUENOS AIRES -</t>
  </si>
  <si>
    <t>Hurlingham</t>
  </si>
  <si>
    <t>-34.6044914,-58.6354242</t>
  </si>
  <si>
    <t>4M2SS8</t>
  </si>
  <si>
    <t>Pizzarella.</t>
  </si>
  <si>
    <t>Sanabria 3185 Villa devoto Entre Simbron y Tinogasta Capital federal -</t>
  </si>
  <si>
    <t>-34.6074917,-58.5095516</t>
  </si>
  <si>
    <t>HTR7X5</t>
  </si>
  <si>
    <t>Estacion De Comidas - Moreno</t>
  </si>
  <si>
    <t>España 11, B1744 Moreno, Argentina -</t>
  </si>
  <si>
    <t>-34.649772,-58.7897328</t>
  </si>
  <si>
    <t>HT6R2X</t>
  </si>
  <si>
    <t>Il Primo Tu Lugar De Encuentro</t>
  </si>
  <si>
    <t>Av. Libertad 115, Villa Carlos Paz, Córdoba, Argentina -</t>
  </si>
  <si>
    <t>-31.4217857,-64.4931958</t>
  </si>
  <si>
    <t>HTPMS3</t>
  </si>
  <si>
    <t>Delicias Artesanales Bibas</t>
  </si>
  <si>
    <t>Uruguay 461, B1841 Monte Grande, Argentina -</t>
  </si>
  <si>
    <t>-34.8345821,-58.4623441</t>
  </si>
  <si>
    <t>HT6QYV</t>
  </si>
  <si>
    <t>Panadería La Panacea.</t>
  </si>
  <si>
    <t>Necochea 747, A4400 Salta, Argentina -</t>
  </si>
  <si>
    <t>-24.7785825,-65.4121684</t>
  </si>
  <si>
    <t>HTR29Q</t>
  </si>
  <si>
    <t>Omg Cookies</t>
  </si>
  <si>
    <t>Av. Calchaquí 1646, B1884 Berazategui Oeste, Argentina -</t>
  </si>
  <si>
    <t>-34.7892008,-58.25374949999999</t>
  </si>
  <si>
    <t>HTAO2K</t>
  </si>
  <si>
    <t>La Milagrosa-</t>
  </si>
  <si>
    <t>Arturo Toscanini 4227 JOSE CLEMENTE PAZ 1665-BUENOS AIRES, B1665, José C. Paz, Argentina -</t>
  </si>
  <si>
    <t>José C Paz</t>
  </si>
  <si>
    <t>-34.5271337,-58.7432412</t>
  </si>
  <si>
    <t>HTPN8G</t>
  </si>
  <si>
    <t>Brozziano Bustamante.</t>
  </si>
  <si>
    <t>CABRERA JOSE A 3302 -</t>
  </si>
  <si>
    <t>-34.5969307,-58.4131521</t>
  </si>
  <si>
    <t>HTP0UT</t>
  </si>
  <si>
    <t>Sweetdulces</t>
  </si>
  <si>
    <t>Cjal. Cabiche 218, X5001 Córdoba, Argentina -</t>
  </si>
  <si>
    <t>Ayacucho</t>
  </si>
  <si>
    <t>-31.3763372,-64.1717172</t>
  </si>
  <si>
    <t>HTZ2OW</t>
  </si>
  <si>
    <t>Lo De Lili Dos.</t>
  </si>
  <si>
    <t>Gral Ferré 1064, B1826 Lanús, Argentina -</t>
  </si>
  <si>
    <t>-34.7062383,-58.37476160000001</t>
  </si>
  <si>
    <t>HTP9I9</t>
  </si>
  <si>
    <t>Bitácora Café -</t>
  </si>
  <si>
    <t>Florentino Ameghino 166, B1842 Monte Grande, Argentina -</t>
  </si>
  <si>
    <t>-34.8160928,-58.4655667</t>
  </si>
  <si>
    <t>HTRF3V</t>
  </si>
  <si>
    <t>Tento Helados Bv. Seguí 3989</t>
  </si>
  <si>
    <t>bv segui 3989 -</t>
  </si>
  <si>
    <t>Alvear</t>
  </si>
  <si>
    <t>-32.9722769,-60.6857455</t>
  </si>
  <si>
    <t>HTWFRO</t>
  </si>
  <si>
    <t>El Hornito Santiagueño - Camino San Carlos</t>
  </si>
  <si>
    <t>Av. O’Higgins 5890 Forte Mall, Local 61 -</t>
  </si>
  <si>
    <t>Villa Eucarística</t>
  </si>
  <si>
    <t>-31.481456,-64.169059</t>
  </si>
  <si>
    <t>HTPZ3F</t>
  </si>
  <si>
    <t>Panadería Los Hermanos</t>
  </si>
  <si>
    <t>Pres. Alessandri 1272, B1708 Morón, Argentina -</t>
  </si>
  <si>
    <t>-34.6739282,-58.6191147</t>
  </si>
  <si>
    <t>HTZG5A</t>
  </si>
  <si>
    <t>La Poderosa 70</t>
  </si>
  <si>
    <t>Cochabamba 4481, S2000 Rosario, Argentina -</t>
  </si>
  <si>
    <t>Cinco Esquinas</t>
  </si>
  <si>
    <t>-32.9503195,-60.68729279999999</t>
  </si>
  <si>
    <t>HTPJDT</t>
  </si>
  <si>
    <t>Ah Dulcear Gluten Free</t>
  </si>
  <si>
    <t>José A. Barton 622 Entre Carlos Pellegrini y Entre Ríos, B1879 Quilmes, Argentina -</t>
  </si>
  <si>
    <t>-34.7420281,-58.2964132</t>
  </si>
  <si>
    <t>HTP0ZO</t>
  </si>
  <si>
    <t>Spiedo De Oro</t>
  </si>
  <si>
    <t>Cam. Real Sur 1257 À 100metros del velódromo, B1890 Juan María Gutiérrez, Argentina -</t>
  </si>
  <si>
    <t>Juan María Gutiérrez</t>
  </si>
  <si>
    <t>-34.8285583,-58.1836176</t>
  </si>
  <si>
    <t>HTTBI8</t>
  </si>
  <si>
    <t>Via Dolce</t>
  </si>
  <si>
    <t>Sarmiento 1191, S2000 Rosario, Argentina -</t>
  </si>
  <si>
    <t>-32.9513093,-60.6392952</t>
  </si>
  <si>
    <t>HTPR4M</t>
  </si>
  <si>
    <t>Cioccolato Helados - San Fernando</t>
  </si>
  <si>
    <t>9 de Julio 1229, B1646 San Fernando, Argentina -</t>
  </si>
  <si>
    <t>-34.4414277,-58.556707</t>
  </si>
  <si>
    <t>HTRLB4</t>
  </si>
  <si>
    <t>Hausbrot - Villa Del Parque 24</t>
  </si>
  <si>
    <t>3195 Nogoyá -</t>
  </si>
  <si>
    <t>-34.6036399,-58.493331</t>
  </si>
  <si>
    <t>HTAWVG</t>
  </si>
  <si>
    <t>Toto's Parrilla</t>
  </si>
  <si>
    <t>TAGLE 3302 - ESQUINA : 142
LANUS OESTE 
1824-BUENOS AIRES -</t>
  </si>
  <si>
    <t>-34.6963317,-58.424365</t>
  </si>
  <si>
    <t>4MM50N</t>
  </si>
  <si>
    <t>Open25hs! - 344</t>
  </si>
  <si>
    <t>Av. Rivadavia 11500, C1408 Carhué, Cdad. Autónoma de Buenos Aires -</t>
  </si>
  <si>
    <t>Liniers</t>
  </si>
  <si>
    <t>-34.6393946,-58.5262719</t>
  </si>
  <si>
    <t>HTRRE6</t>
  </si>
  <si>
    <t>Morfitito</t>
  </si>
  <si>
    <t>José Hernández 4056, B1824 Remedios de Escalada, Argentina -</t>
  </si>
  <si>
    <t>Remedios de Escalada</t>
  </si>
  <si>
    <t>-34.7218654,-58.4162433</t>
  </si>
  <si>
    <t>HTPJGP</t>
  </si>
  <si>
    <t>Bendita Comida 901</t>
  </si>
  <si>
    <t>Jacinto Benavente 2079 Ituzaingó -</t>
  </si>
  <si>
    <t>-34.6415279,-58.68150170000001</t>
  </si>
  <si>
    <t>HTP0NF</t>
  </si>
  <si>
    <t>Sabor De Hogar .</t>
  </si>
  <si>
    <t>Antonio Beruti 73, B1617 General Pacheco, Argentina -</t>
  </si>
  <si>
    <t>-34.4492652,-58.6428502</t>
  </si>
  <si>
    <t>HTK1WA</t>
  </si>
  <si>
    <t>Mari Rotiseria.</t>
  </si>
  <si>
    <t>san Juan Bautista 2768 -</t>
  </si>
  <si>
    <t>-34.6321,-58.7784</t>
  </si>
  <si>
    <t>HTTBUP</t>
  </si>
  <si>
    <t>Bela - Pizza A La Parrilla</t>
  </si>
  <si>
    <t>Brown 685, B8000 Bahía Blanca, Argentina -</t>
  </si>
  <si>
    <t>Tiro Federal</t>
  </si>
  <si>
    <t>-38.72574090000001,-62.26095719999999</t>
  </si>
  <si>
    <t>HTRLZD</t>
  </si>
  <si>
    <t>No Es De Acá</t>
  </si>
  <si>
    <t>Mcal. Antonio José de Sucre 4733, C1431 Buenos Aires, Argentina -</t>
  </si>
  <si>
    <t>-34.5766234,-58.47705300000001</t>
  </si>
  <si>
    <t>HTPZJZ</t>
  </si>
  <si>
    <t>Dosis Cookies</t>
  </si>
  <si>
    <t>Garibaldi 1998, B1645 Virreyes, Argentina -</t>
  </si>
  <si>
    <t>Virreyes</t>
  </si>
  <si>
    <t>-34.4540407,-58.5529011</t>
  </si>
  <si>
    <t>4M251J</t>
  </si>
  <si>
    <t>Cla Entrepanes..</t>
  </si>
  <si>
    <t>672 12 de Octubre -</t>
  </si>
  <si>
    <t>-38.70602470000001,-62.2641693</t>
  </si>
  <si>
    <t>HTPRG1</t>
  </si>
  <si>
    <t>Panificación Albertus - Lavalle.</t>
  </si>
  <si>
    <t>Lavalle 99 -</t>
  </si>
  <si>
    <t>Barrio Sur</t>
  </si>
  <si>
    <t>-26.840378,-65.200557</t>
  </si>
  <si>
    <t>HTTBT9</t>
  </si>
  <si>
    <t>La Papionni</t>
  </si>
  <si>
    <t>Bolívar 6489, B7604BOC Mar del Plata, Provincia de Buenos Aires, Argentina -</t>
  </si>
  <si>
    <t>San Cayetano</t>
  </si>
  <si>
    <t>-37.9826969,-57.5884243</t>
  </si>
  <si>
    <t>HTRO1M</t>
  </si>
  <si>
    <t>Quesería De Mi Sin Ti - Ramos Mejia</t>
  </si>
  <si>
    <t>Carlos Pellegrini 335, B1704HNG Ramos Mejía, Provincia de Buenos Aires, Argentina -</t>
  </si>
  <si>
    <t>-34.6539986,-58.5438461</t>
  </si>
  <si>
    <t>HTR72U</t>
  </si>
  <si>
    <t>Masago Sushi Belgrano.</t>
  </si>
  <si>
    <t>Blanco Encalada 2890, C1428 Buenos Aires, Argentina -</t>
  </si>
  <si>
    <t>-34.561917,-58.463517</t>
  </si>
  <si>
    <t>HTZMWS</t>
  </si>
  <si>
    <t>La Cocina De Ema-</t>
  </si>
  <si>
    <t>Av. Gral. San Martín 1398, B1704 Ramos Mejía, Argentina -</t>
  </si>
  <si>
    <t>-34.6538531,-58.55034649999999</t>
  </si>
  <si>
    <t>HTP8KZ</t>
  </si>
  <si>
    <t>Black Bowl</t>
  </si>
  <si>
    <t>Avenida Entre Ríos 764 -</t>
  </si>
  <si>
    <t>-24.7808336,-65.4122345</t>
  </si>
  <si>
    <t>HTZQHF</t>
  </si>
  <si>
    <t>Homers Fast Food</t>
  </si>
  <si>
    <t>Beruti 1785, B1640 Martínez, Argentina -</t>
  </si>
  <si>
    <t>-34.4924409,-58.51088540000001</t>
  </si>
  <si>
    <t>HTPKVP</t>
  </si>
  <si>
    <t>Maraqueños</t>
  </si>
  <si>
    <t>Bartolomé Jaimes 908 -</t>
  </si>
  <si>
    <t>Marqués de Sobremonte</t>
  </si>
  <si>
    <t>-31.360197,-64.18848919999999</t>
  </si>
  <si>
    <t>HTPRH3</t>
  </si>
  <si>
    <t>Panificacion Albertus - Chacabuco.</t>
  </si>
  <si>
    <t>Batalla de Chacabuco 499 -</t>
  </si>
  <si>
    <t>-26.8369089,-65.2094042</t>
  </si>
  <si>
    <t>HTP8KL</t>
  </si>
  <si>
    <t>Boomerang.</t>
  </si>
  <si>
    <t>Av. Madrid 2407, Ciudad de Córdoba, Provincia de Córdoba, Argentina -</t>
  </si>
  <si>
    <t>Crisol Sud</t>
  </si>
  <si>
    <t>-31.4374035,-64.1686309</t>
  </si>
  <si>
    <t>HZOEIR</t>
  </si>
  <si>
    <t>Campo Austral - Almacén De Campo</t>
  </si>
  <si>
    <t>C. 12 1218 -</t>
  </si>
  <si>
    <t>-34.4046311,-58.96220389999998</t>
  </si>
  <si>
    <t>HTPZBE</t>
  </si>
  <si>
    <t>Heladeria Comcom</t>
  </si>
  <si>
    <t>Camilo Aldao Bis 405, S2000 Rosario, Argentina -</t>
  </si>
  <si>
    <t>Larrea y Empalme Graneros</t>
  </si>
  <si>
    <t>-32.9237949,-60.6967819</t>
  </si>
  <si>
    <t>HTPAP1</t>
  </si>
  <si>
    <t>Nostra.</t>
  </si>
  <si>
    <t>Paraná 6252, B1652 AUD, Argentina -</t>
  </si>
  <si>
    <t>-34.524628,-58.54722599999999</t>
  </si>
  <si>
    <t>HTZC5M</t>
  </si>
  <si>
    <t>Lomiteria Popular - Gauss</t>
  </si>
  <si>
    <t>Av. Carlos F. Gauss 5740 -</t>
  </si>
  <si>
    <t>-31.3559791,-64.25046400000001</t>
  </si>
  <si>
    <t>HTRADS</t>
  </si>
  <si>
    <t>Panadería Lujan</t>
  </si>
  <si>
    <t>Santa Rosa y Prol Boulogne Sur Mer S/N -</t>
  </si>
  <si>
    <t>La Cieneguita</t>
  </si>
  <si>
    <t>-32.84070561586781,-68.8632099539673</t>
  </si>
  <si>
    <t>HTZLCZ</t>
  </si>
  <si>
    <t>Pertutti-avellaneda</t>
  </si>
  <si>
    <t>AVENIDA MITRE 800 -</t>
  </si>
  <si>
    <t>-34.6626796,-58.3643459</t>
  </si>
  <si>
    <t>HTHH9T</t>
  </si>
  <si>
    <t>Parri Puerto Mdp</t>
  </si>
  <si>
    <t>Av. Edison 851 -</t>
  </si>
  <si>
    <t>Villa Lourdes</t>
  </si>
  <si>
    <t>-38.0445315,-57.55211509999999</t>
  </si>
  <si>
    <t>HTRTY7</t>
  </si>
  <si>
    <t>Panaderia Virgen Del Valle.</t>
  </si>
  <si>
    <t>Av. Belgrano 976, A4400 Salta, Argentina -</t>
  </si>
  <si>
    <t>-24.7866762,-65.4157134</t>
  </si>
  <si>
    <t>HAWUVJ</t>
  </si>
  <si>
    <t>La Cocina De La Abu 543</t>
  </si>
  <si>
    <t>Av Brasil y Marini Esquina, 2300 Santa Fe, Argentina -</t>
  </si>
  <si>
    <t>-31.2446847,-61.4816953</t>
  </si>
  <si>
    <t>HTPRP0</t>
  </si>
  <si>
    <t>Buche Salumería - Asuncion.</t>
  </si>
  <si>
    <t>4085 Asunción -</t>
  </si>
  <si>
    <t>-34.6011067,-58.5117796</t>
  </si>
  <si>
    <t>HTZ1Z1</t>
  </si>
  <si>
    <t>La Hora Del Pollo.</t>
  </si>
  <si>
    <t>Camacuá 197 -</t>
  </si>
  <si>
    <t>-34.6298856,-58.4577338</t>
  </si>
  <si>
    <t>HTP8NU</t>
  </si>
  <si>
    <t>Waffle Lab.</t>
  </si>
  <si>
    <t>Amenábar 1444 Departamento 2F, C1426 Buenos Aires, Argentina -</t>
  </si>
  <si>
    <t>-34.5688437,-58.4530112</t>
  </si>
  <si>
    <t>HTRMKQ</t>
  </si>
  <si>
    <t>Ypf Full Tucuman Mate De Luna</t>
  </si>
  <si>
    <t>Avenida Mate de Luna 2279, San Miguel de Tucumán, Provincia de Tucumán, Argentina -</t>
  </si>
  <si>
    <t>Villa Lujan</t>
  </si>
  <si>
    <t>-26.824928,-65.2317163</t>
  </si>
  <si>
    <t>HTAOTU</t>
  </si>
  <si>
    <t>Casa Ramos - Galicia</t>
  </si>
  <si>
    <t>GALICIA AV 276
PIÑEYRO 
1870-BUENOS AIRES -</t>
  </si>
  <si>
    <t>Piñeyro</t>
  </si>
  <si>
    <t>-34.6750142,-58.3853921</t>
  </si>
  <si>
    <t>HTP5MG</t>
  </si>
  <si>
    <t>Pizza Pepperoni.</t>
  </si>
  <si>
    <t>Dr. Ramón Carrillo 2123, B1650 San Martín, Argentina -</t>
  </si>
  <si>
    <t>-34.5760768,-58.5380773</t>
  </si>
  <si>
    <t>HTRCP9</t>
  </si>
  <si>
    <t>Mostaza Warnes - Liviano</t>
  </si>
  <si>
    <t>Av. Warnes 2707, C1427DPG Cdad. Autónoma de Buenos Aires -</t>
  </si>
  <si>
    <t>La Paternal</t>
  </si>
  <si>
    <t>-34.5961716,-58.47333570000001</t>
  </si>
  <si>
    <t>HTRRW4</t>
  </si>
  <si>
    <t>Cheese Restobar</t>
  </si>
  <si>
    <t>Catamarca 51, M5500 Mendoza, Argentina -</t>
  </si>
  <si>
    <t>3ra Sección Parque OHiggins</t>
  </si>
  <si>
    <t>-32.8897964,-68.8380281</t>
  </si>
  <si>
    <t>HTPKHL</t>
  </si>
  <si>
    <t>Bar De Café -</t>
  </si>
  <si>
    <t>Mariano Santamaría 2307, B1754 San Justo, Argentina -</t>
  </si>
  <si>
    <t>-34.6746084,-58.5726941</t>
  </si>
  <si>
    <t>HTAC09</t>
  </si>
  <si>
    <t>Panteca</t>
  </si>
  <si>
    <t>Argerich 2705, C1417 Buenos Aires, Argentina -</t>
  </si>
  <si>
    <t>-34.6052115,-58.4880821</t>
  </si>
  <si>
    <t>HTAJST</t>
  </si>
  <si>
    <t>El Pan De Mama</t>
  </si>
  <si>
    <t>Av. Colón 4933 Local 3, X5003 Córdoba, Argentina -</t>
  </si>
  <si>
    <t>Villa General Urquiza</t>
  </si>
  <si>
    <t>-31.39631829999999,-64.2453696</t>
  </si>
  <si>
    <t>HTA104</t>
  </si>
  <si>
    <t>El Rincón De La Milanesa Moron</t>
  </si>
  <si>
    <t>Estanislao del Campo 548, B1707 Villa Sarmiento, Argentina -</t>
  </si>
  <si>
    <t>-34.6353194,-58.57318739999999</t>
  </si>
  <si>
    <t>HTPNL8</t>
  </si>
  <si>
    <t>Mila Factory.</t>
  </si>
  <si>
    <t>7910 Av. Brig. Gral. Juan Manuel de Rosas -</t>
  </si>
  <si>
    <t>Isidro Casanova</t>
  </si>
  <si>
    <t>-34.7122966,-58.5904616</t>
  </si>
  <si>
    <t>4MNVVH</t>
  </si>
  <si>
    <t>Carrefour - Express Guardia Vieja 1235 (6014)</t>
  </si>
  <si>
    <t>Guardia Vieja 1235, mendoza -</t>
  </si>
  <si>
    <t>Luján de Cuyo</t>
  </si>
  <si>
    <t>Vistalba</t>
  </si>
  <si>
    <t>-33.0203797,-68.9090636</t>
  </si>
  <si>
    <t>HTRSRL</t>
  </si>
  <si>
    <t>Noah's Green Kitchen - Pilar Iii</t>
  </si>
  <si>
    <t>EMB, Chubut 12, B1631 Villa Rosa, Provincia de Buenos Aires, Argentina -</t>
  </si>
  <si>
    <t>Villa Rosa</t>
  </si>
  <si>
    <t>-34.4427302,-58.8739813</t>
  </si>
  <si>
    <t>HTAD3T</t>
  </si>
  <si>
    <t>Montdulces</t>
  </si>
  <si>
    <t>Echesortu 845, S2000 Rosario, Argentina -</t>
  </si>
  <si>
    <t>Sarmiento</t>
  </si>
  <si>
    <t>-32.907965,-60.69041179999999</t>
  </si>
  <si>
    <t>HTRBLE</t>
  </si>
  <si>
    <t>Ypf Full Aca Morón</t>
  </si>
  <si>
    <t>Av. Gral. Bartolomé Mitre N°1666 E/ Gral. Tomas Guido, Bernardo de Irigoyen y, B1708 Morón, Provincia de Buenos Aires -</t>
  </si>
  <si>
    <t>-34.6534621,-58.63005615</t>
  </si>
  <si>
    <t>HTRXC0</t>
  </si>
  <si>
    <t>Dulcedaniela</t>
  </si>
  <si>
    <t>Almte Brown 3732, B1653 Villa Ballester, Argentina -</t>
  </si>
  <si>
    <t>-34.5570596,-58.5635078</t>
  </si>
  <si>
    <t>HTRA1R</t>
  </si>
  <si>
    <t>Brombi - San Antonio</t>
  </si>
  <si>
    <t>1846 Manuel Baigorria -</t>
  </si>
  <si>
    <t>Parque Capital Sud</t>
  </si>
  <si>
    <t>-31.4457895,-64.2154965</t>
  </si>
  <si>
    <t>HTP5S4</t>
  </si>
  <si>
    <t>Comidas Moussa</t>
  </si>
  <si>
    <t>Vicente López 984</t>
  </si>
  <si>
    <t>-34.6589649,-58.6132296</t>
  </si>
  <si>
    <t>HTPI1S</t>
  </si>
  <si>
    <t>La Isla Del Sabor</t>
  </si>
  <si>
    <t>Sarmiento 278, B1625 Belén de Escobar, Argentina -</t>
  </si>
  <si>
    <t>-34.3528744,-58.7938725</t>
  </si>
  <si>
    <t>HTAF10</t>
  </si>
  <si>
    <t>Ammmbi.ok</t>
  </si>
  <si>
    <t>Av. Monseñor Tavella Nº 2500, A4400 Salta, Argentina -</t>
  </si>
  <si>
    <t>Maria Ester</t>
  </si>
  <si>
    <t>-24.8120687,-65.3972402</t>
  </si>
  <si>
    <t>HTWIO1</t>
  </si>
  <si>
    <t>La Casa De La Empanada- Gral Paz.</t>
  </si>
  <si>
    <t>viamonte 165 -</t>
  </si>
  <si>
    <t>-31.4137953,-64.1648112</t>
  </si>
  <si>
    <t>HTWFD8</t>
  </si>
  <si>
    <t>Cheese And Res -</t>
  </si>
  <si>
    <t>Sta. Rita 1235, B6700 EKM, Argentina -</t>
  </si>
  <si>
    <t>Luján</t>
  </si>
  <si>
    <t>-34.559662,-59.13078710000001</t>
  </si>
  <si>
    <t>HTA1EH</t>
  </si>
  <si>
    <t>Sabores De Casa Mdcm</t>
  </si>
  <si>
    <t>Av. Hipólito Yrigoyen 1428, C1089 Buenos Aires, Argentina -</t>
  </si>
  <si>
    <t>-34.6100335,-58.38658599999999</t>
  </si>
  <si>
    <t>HTPJP1</t>
  </si>
  <si>
    <t>Pizza Cuarentena - La Plata</t>
  </si>
  <si>
    <t>C. 35 1449, B1902 BDE, Provincia de Buenos Aires -</t>
  </si>
  <si>
    <t>-34.9188485,-57.9829472</t>
  </si>
  <si>
    <t>HTRMZD</t>
  </si>
  <si>
    <t>Ypf Full La Plata</t>
  </si>
  <si>
    <t>Av. 7 &amp; Av. 32, La Plata, Provincia de Buenos Aires, Argentina -</t>
  </si>
  <si>
    <t>-34.9006384,-57.96898189999999</t>
  </si>
  <si>
    <t>HTWTQM</t>
  </si>
  <si>
    <t>Cora Cafe</t>
  </si>
  <si>
    <t>Ombues 491, B1885 Guillermo Enrique Hudson, Argentina -</t>
  </si>
  <si>
    <t>Hudson</t>
  </si>
  <si>
    <t>-34.7966075,-58.16009560000001</t>
  </si>
  <si>
    <t>HTRRWZ</t>
  </si>
  <si>
    <t>Mostaza Rivadavia Y Terrada - Café &amp; Postres</t>
  </si>
  <si>
    <t>RIVADAVIA AV. 7299
1406-CIUDAD AUTONOMA BUENOS AIRES -</t>
  </si>
  <si>
    <t>-34.630162,-58.468256</t>
  </si>
  <si>
    <t>HTRAQ1</t>
  </si>
  <si>
    <t>Sushi 2x1 - San Antonio</t>
  </si>
  <si>
    <t>HTPLXA</t>
  </si>
  <si>
    <t>Iki Sushi Barra Japonesa - San Isidro</t>
  </si>
  <si>
    <t>1328 Av. Juan Segundo Fernández -</t>
  </si>
  <si>
    <t>Beccar</t>
  </si>
  <si>
    <t>-34.4800881,-58.5539374</t>
  </si>
  <si>
    <t>HTRQP1</t>
  </si>
  <si>
    <t>Lfg Sabores</t>
  </si>
  <si>
    <t>Lanús 1258, B1805 El Jagüel, Argentina -</t>
  </si>
  <si>
    <t>-34.84062,-58.48584629999999</t>
  </si>
  <si>
    <t>HTPR18</t>
  </si>
  <si>
    <t>Ferozo Sangucheria</t>
  </si>
  <si>
    <t>Amundsen 673, 1 C, B8000 Bahía Blanca, Argentina -</t>
  </si>
  <si>
    <t>-38.7142859,-62.255971</t>
  </si>
  <si>
    <t>HTAFCW</t>
  </si>
  <si>
    <t>Mostaza República De Los Niños Café &amp; Postres</t>
  </si>
  <si>
    <t>Cno. Gral. Belgrano esquina 500, B1897 Gonnet, Provincia de Buenos Aires, Argentina -</t>
  </si>
  <si>
    <t>-34.886403,-58.0190222</t>
  </si>
  <si>
    <t>HTRD8H</t>
  </si>
  <si>
    <t>Pandora - Burgers Y Wraps</t>
  </si>
  <si>
    <t>Tiscornia 843 -</t>
  </si>
  <si>
    <t>-34.4646895,-58.50841729999999</t>
  </si>
  <si>
    <t>HTP86W</t>
  </si>
  <si>
    <t>Vi Pancho's</t>
  </si>
  <si>
    <t>Cañada de Gómez 908, B1686 Hurlingham, Argentina -</t>
  </si>
  <si>
    <t>-34.5814281,-58.63839</t>
  </si>
  <si>
    <t>HTA2C8</t>
  </si>
  <si>
    <t>Tranquilo Roberto</t>
  </si>
  <si>
    <t>Raúl Ricardo Alfonsín 100, B1638 Vicente López, Argentina -</t>
  </si>
  <si>
    <t>-34.5231639,-58.4688995</t>
  </si>
  <si>
    <t>HTRAPN</t>
  </si>
  <si>
    <t>La Budineria Belgrano</t>
  </si>
  <si>
    <t>Zapiola 2241 Timbre B, C1428 Buenos Aires, Argentina -</t>
  </si>
  <si>
    <t>-34.5645718,-58.46434</t>
  </si>
  <si>
    <t>HTRA1K</t>
  </si>
  <si>
    <t>Walu - San Antonio</t>
  </si>
  <si>
    <t>HTPRY1</t>
  </si>
  <si>
    <t>Lucciano's Campana 158</t>
  </si>
  <si>
    <t>Av. Int. Jorge Ruben Varela 360, B2804 Campana, Provincia de Buenos Aires -</t>
  </si>
  <si>
    <t>-34.163552,-58.9582164</t>
  </si>
  <si>
    <t>HTACGX</t>
  </si>
  <si>
    <t>Mostaza República De Los Niños - Liviano</t>
  </si>
  <si>
    <t>Cno. Gral. Belgrano esquina 500, B1897 Gonnet, Provincia de Buenos Aires, Argentina (REPUBLICA DE LOS NIÑOS) -</t>
  </si>
  <si>
    <t>HTP8RI</t>
  </si>
  <si>
    <t>Sushi Kioto</t>
  </si>
  <si>
    <t>Pcia de Corrientes 1301, T4000 San Miguel de Tucumán, Tucumán, Argentina -</t>
  </si>
  <si>
    <t>-26.8201263,-65.2149944</t>
  </si>
  <si>
    <t>HTRSJY</t>
  </si>
  <si>
    <t>Cookies Del Oeste</t>
  </si>
  <si>
    <t>Ruiz de los Llanos 5261, B1757 La Matanza, Argentina -</t>
  </si>
  <si>
    <t>Gregorio de Laferrere</t>
  </si>
  <si>
    <t>-34.7556953,-58.61202119999999</t>
  </si>
  <si>
    <t>HTP0T3</t>
  </si>
  <si>
    <t>Heladería Glups Carcano Vcp</t>
  </si>
  <si>
    <t>2530 Av. Ramón J. Cárcano -</t>
  </si>
  <si>
    <t>-31.45323999518483,-64.5082275</t>
  </si>
  <si>
    <t>HTA9C7</t>
  </si>
  <si>
    <t>Paula Dulce Salado.</t>
  </si>
  <si>
    <t>Nicolás Avellaneda 1037, B1712 CASTELAR, Argentina -</t>
  </si>
  <si>
    <t>-34.6494841,-58.6405289</t>
  </si>
  <si>
    <t>HTRC0K</t>
  </si>
  <si>
    <t>Mostaza - González Catán - Liviano</t>
  </si>
  <si>
    <t>Av. Brig. Gral. Juan Manuel de Rosas 14457 Local B, B1759 GZK, Provincia de Buenos Aires (SHOPPING CATÁN) -</t>
  </si>
  <si>
    <t>González Catan</t>
  </si>
  <si>
    <t>-34.7642899,-58.617785</t>
  </si>
  <si>
    <t>HTP0TC</t>
  </si>
  <si>
    <t>J Y B Hamburguesas Artesanales</t>
  </si>
  <si>
    <t>Concordia 1798, B1744 Moreno, Argentina -</t>
  </si>
  <si>
    <t>-34.64886978026675,-58.77389254992857</t>
  </si>
  <si>
    <t>HTPNZB</t>
  </si>
  <si>
    <t>Tebbys Pizza - Dino Mall</t>
  </si>
  <si>
    <t>4086 Rodríguez del Busto -</t>
  </si>
  <si>
    <t>Cerro Chico</t>
  </si>
  <si>
    <t>-31.3660278,-64.2191302</t>
  </si>
  <si>
    <t>HTA3T9</t>
  </si>
  <si>
    <t>Onigo</t>
  </si>
  <si>
    <t>Echeverría 1677 -</t>
  </si>
  <si>
    <t>-34.558472,-58.449275</t>
  </si>
  <si>
    <t>HTR5WN</t>
  </si>
  <si>
    <t>Planeta Pizza - Elpidio</t>
  </si>
  <si>
    <t>Elpidio González 5967, M5523, Mendoza -</t>
  </si>
  <si>
    <t>Jesús Nazareno</t>
  </si>
  <si>
    <t>-32.92202619999999,-68.7796903</t>
  </si>
  <si>
    <t>HTRA13</t>
  </si>
  <si>
    <t>Blackroll - San Antonio</t>
  </si>
  <si>
    <t>HTR2GX</t>
  </si>
  <si>
    <t>Rabas Mdq</t>
  </si>
  <si>
    <t>20 de septiembre 1596 -</t>
  </si>
  <si>
    <t>-37.9933589,-57.5560398</t>
  </si>
  <si>
    <t>HTRCNR</t>
  </si>
  <si>
    <t>Endivia - Via Viva</t>
  </si>
  <si>
    <t>Mendoza 1730 local 406 -</t>
  </si>
  <si>
    <t>-34.5576466,-58.450861</t>
  </si>
  <si>
    <t>HTPMR5</t>
  </si>
  <si>
    <t>Tienda Gaby</t>
  </si>
  <si>
    <t>Avenida Pte. Perón 3511, B1644 Victoria, Argentina -</t>
  </si>
  <si>
    <t>-34.4554274,-58.5363507</t>
  </si>
  <si>
    <t>HTPOEG</t>
  </si>
  <si>
    <t>Wtz Lomos Artesanales - Acevey.</t>
  </si>
  <si>
    <t>1537 Coronel Jose Acevey -</t>
  </si>
  <si>
    <t>General Bustos</t>
  </si>
  <si>
    <t>-31.3823634,-64.1743268</t>
  </si>
  <si>
    <t>HTRA9C</t>
  </si>
  <si>
    <t>Monster Cookies - Belgrano</t>
  </si>
  <si>
    <t>Mendoza 1730 -</t>
  </si>
  <si>
    <t>HTRRRY</t>
  </si>
  <si>
    <t>Mostaza Rivadavia Y Terrada - Liviano</t>
  </si>
  <si>
    <t>Av. Rivadavia 7299, C1406GMC Cdad. Autónoma de Buenos Aires, Argentina -</t>
  </si>
  <si>
    <t>HTPRRP</t>
  </si>
  <si>
    <t>Dolce Amore -</t>
  </si>
  <si>
    <t>Granaderos 352 PISO 5 DEPTO B, C1406 Buenos Aires, Argentina -</t>
  </si>
  <si>
    <t>-34.6236,-58.46091</t>
  </si>
  <si>
    <t>HTR2W6</t>
  </si>
  <si>
    <t>Bajon 2.0</t>
  </si>
  <si>
    <t>Miguel de Unamuno 745, B7604 Mar del Plata, Argentina -</t>
  </si>
  <si>
    <t>Los Pinares</t>
  </si>
  <si>
    <t>-37.9603851,-57.56942759999999</t>
  </si>
  <si>
    <t>HTW5F0</t>
  </si>
  <si>
    <t>Dionisio Rotiseria</t>
  </si>
  <si>
    <t>Av. Dr. Ricardo Balbín 3700, B1663 Gran Buenos Aires, Argentina -</t>
  </si>
  <si>
    <t>-34.5617428,-58.7343173</t>
  </si>
  <si>
    <t>HTTDGT</t>
  </si>
  <si>
    <t>Sushi Burger - La Plata..</t>
  </si>
  <si>
    <t>C. 12 611, B1900TJW La Plata, Provincia de Buenos Aires -</t>
  </si>
  <si>
    <t>-34.915704,-57.9601936</t>
  </si>
  <si>
    <t>HTTB7R</t>
  </si>
  <si>
    <t>Club De La Miga</t>
  </si>
  <si>
    <t>Gral. Bartolomé Mitre 2382 Puerta negra no Tocar bocina, B1611 Tigre, Argentina -</t>
  </si>
  <si>
    <t>-34.5032249,-58.6264814</t>
  </si>
  <si>
    <t>HTPKE9</t>
  </si>
  <si>
    <t>Panificación Albertus - Perón</t>
  </si>
  <si>
    <t>Av. Juan Domingo Perón 165 -</t>
  </si>
  <si>
    <t>-26.8056735,-65.26501429999999</t>
  </si>
  <si>
    <t>HTPY95</t>
  </si>
  <si>
    <t>Cru Pizza De Calle</t>
  </si>
  <si>
    <t>Bolivia 243 -</t>
  </si>
  <si>
    <t>-31.4316522,-64.18708269999999</t>
  </si>
  <si>
    <t>HTPJBI</t>
  </si>
  <si>
    <t>Empanadas Charlys</t>
  </si>
  <si>
    <t>Av. Álvarez Thomas 3107, C1431 Buenos Aires, Argentina -</t>
  </si>
  <si>
    <t>-34.5718912,-58.48252830000001</t>
  </si>
  <si>
    <t>HTRSD6</t>
  </si>
  <si>
    <t>Mr Tasty - Villa Real</t>
  </si>
  <si>
    <t>LOPE DE VEGA AV. 3365 -</t>
  </si>
  <si>
    <t>-34.6125725,-58.5269576</t>
  </si>
  <si>
    <t>HKPC2T</t>
  </si>
  <si>
    <t>La City Café Y Comida</t>
  </si>
  <si>
    <t>25 DE MAYO 79 -</t>
  </si>
  <si>
    <t>-31.4151072,-64.18252679999999</t>
  </si>
  <si>
    <t>HTPJOS</t>
  </si>
  <si>
    <t>Sabor Inka</t>
  </si>
  <si>
    <t>Monseñor López May 2936 Ascasubi y esteban echeverria, B1757 Gregorio de Laferrere, Argentina -</t>
  </si>
  <si>
    <t>-34.7486052,-58.58434119999999</t>
  </si>
  <si>
    <t>HTAB8G</t>
  </si>
  <si>
    <t>Burgchat</t>
  </si>
  <si>
    <t>Sta. Maria de Oro 2551, M5539 Mendoza, Argentina -</t>
  </si>
  <si>
    <t>-32.84157993109179,-68.8475969767212</t>
  </si>
  <si>
    <t>HTR72L</t>
  </si>
  <si>
    <t>Pajaro Rojo</t>
  </si>
  <si>
    <t>Independencia 2734, B1744 Moreno, Argentina -</t>
  </si>
  <si>
    <t>-34.64724959999999,-58.78811269999999</t>
  </si>
  <si>
    <t>HTKSNI</t>
  </si>
  <si>
    <t>Punto Burger - Rosario</t>
  </si>
  <si>
    <t>Pje. 608 4222, S2005 Rosario, Argentina -</t>
  </si>
  <si>
    <t>Celedonio Escalada</t>
  </si>
  <si>
    <t>-32.8742358,-60.6928962</t>
  </si>
  <si>
    <t>HTRCTZ</t>
  </si>
  <si>
    <t>Juanic -</t>
  </si>
  <si>
    <t>Constitución 97, T4000 San Miguel de Tucumán, Argentina -</t>
  </si>
  <si>
    <t>Floresta</t>
  </si>
  <si>
    <t>-26.8252246,-65.2372208</t>
  </si>
  <si>
    <t>HTRRH3</t>
  </si>
  <si>
    <t>Mostaza Rivadavia Y Terrada</t>
  </si>
  <si>
    <t>HTPJ4H</t>
  </si>
  <si>
    <t>Weiss Burger Dorrego</t>
  </si>
  <si>
    <t>Las cañas 1511 -</t>
  </si>
  <si>
    <t>-32.9106965,-68.81972139999999</t>
  </si>
  <si>
    <t>HP9HRS</t>
  </si>
  <si>
    <t>Alu Café &amp; Deli</t>
  </si>
  <si>
    <t>Av. Presidente Juan Domingo Peron 1487
Entre Alfonsina Storni y Las Araucarias
Código Postal 1629
Pilar, Buenos Aires -</t>
  </si>
  <si>
    <t>-34.457531,-58.8657176</t>
  </si>
  <si>
    <t>HTRX93</t>
  </si>
  <si>
    <t>Rh+</t>
  </si>
  <si>
    <t>12 de Octubre 1010, B8000 Bahía Blanca, Argentina -</t>
  </si>
  <si>
    <t>Napostá</t>
  </si>
  <si>
    <t>-38.702666,-62.26685699999999</t>
  </si>
  <si>
    <t>HTACS6</t>
  </si>
  <si>
    <t>Thunder Burger Palermo</t>
  </si>
  <si>
    <t>Costa Rica 5827 -</t>
  </si>
  <si>
    <t>-34.5806965,-58.43684329999999</t>
  </si>
  <si>
    <t>4M23W2</t>
  </si>
  <si>
    <t>Rod American Sandwich.</t>
  </si>
  <si>
    <t>Sanabria 3121 -</t>
  </si>
  <si>
    <t>-34.6080594,-58.50896219999999</t>
  </si>
  <si>
    <t>HTZ68M</t>
  </si>
  <si>
    <t>Tea Connection Castelar</t>
  </si>
  <si>
    <t>Gdor. Inocencio Arias 2926 B1712 Castelar, Provincia de Buenos Aires -</t>
  </si>
  <si>
    <t>-34.6500239,-58.64927710000001</t>
  </si>
  <si>
    <t>HPIO6E</t>
  </si>
  <si>
    <t>Parrilla Sabor Al Paso</t>
  </si>
  <si>
    <t>Av. Constituyentes 855, 1619 Garin, Argentina -</t>
  </si>
  <si>
    <t>Garín</t>
  </si>
  <si>
    <t>-34.4489225,-58.7231422</t>
  </si>
  <si>
    <t>HTAUCZ</t>
  </si>
  <si>
    <t>Mamá Mila - City Bell</t>
  </si>
  <si>
    <t>13B 222, Local 5, City Bell, Argentina -</t>
  </si>
  <si>
    <t>City Bell</t>
  </si>
  <si>
    <t>-34.8684065,-58.0431171</t>
  </si>
  <si>
    <t>HTRR25</t>
  </si>
  <si>
    <t>Papas West - Morris</t>
  </si>
  <si>
    <t>Gral. Pedro Díaz 2661, B1686 William C. Morris, Argentina -</t>
  </si>
  <si>
    <t>William C Morris</t>
  </si>
  <si>
    <t>-34.5939977,-58.6612284</t>
  </si>
  <si>
    <t>HTPKKA</t>
  </si>
  <si>
    <t>Armando Medialunas - Fuerza Aerea</t>
  </si>
  <si>
    <t>Av. Fuerza Aérea Argentina 1918, X5010JJR Córdoba -</t>
  </si>
  <si>
    <t>Avenida</t>
  </si>
  <si>
    <t>-31.43044261757499,-64.21559528650819</t>
  </si>
  <si>
    <t>HTWSEP</t>
  </si>
  <si>
    <t>Hey Muzza - Balvanera 2</t>
  </si>
  <si>
    <t>Viamonte 2399 4f , CABA -</t>
  </si>
  <si>
    <t>-34.6010478,-58.400898</t>
  </si>
  <si>
    <t>HTRFUX</t>
  </si>
  <si>
    <t>Diz Burgers -</t>
  </si>
  <si>
    <t>San Ramón 1672, B1863 Zeballos, Argentina -</t>
  </si>
  <si>
    <t>Florencio Varela</t>
  </si>
  <si>
    <t>Zeballos</t>
  </si>
  <si>
    <t>-34.8098039,-58.2358668</t>
  </si>
  <si>
    <t>HTPCN4</t>
  </si>
  <si>
    <t>By Biga</t>
  </si>
  <si>
    <t>Guayaquil 897, C1406 Buenos Aires, Argentina 897</t>
  </si>
  <si>
    <t>-34.6217544,-58.4407468</t>
  </si>
  <si>
    <t>4M50T2</t>
  </si>
  <si>
    <t>Mascotas PedidosYa - Boedo Ii</t>
  </si>
  <si>
    <t>Cochabamba 3371 -</t>
  </si>
  <si>
    <t>-34.6263062,-58.4129573</t>
  </si>
  <si>
    <t>HTP06D</t>
  </si>
  <si>
    <t>Foka - Cafeteria &amp; Focacceria.</t>
  </si>
  <si>
    <t>2610 Gdor. Marcelino Ugarte -</t>
  </si>
  <si>
    <t>Olivos</t>
  </si>
  <si>
    <t>-34.5194399,-58.50217420000001</t>
  </si>
  <si>
    <t>HTR5FQ</t>
  </si>
  <si>
    <t>De Tin Marin.</t>
  </si>
  <si>
    <t>Corrientes 86, B8000 Bahía Blanca, Argentina -</t>
  </si>
  <si>
    <t>-38.7128367,-62.2584031</t>
  </si>
  <si>
    <t>HTGWP4</t>
  </si>
  <si>
    <t>By Mía Civetta</t>
  </si>
  <si>
    <t>Teodoro Bronzini 267, B7604 Mar del Plata, Argentina -</t>
  </si>
  <si>
    <t>Villa Primera</t>
  </si>
  <si>
    <t>-37.9714191,-57.56992839999999</t>
  </si>
  <si>
    <t>HTPGPV</t>
  </si>
  <si>
    <t>Como En Casa-</t>
  </si>
  <si>
    <t>9 de Julio 1447 9 de julio entre Larrea y Mateu, T4000 San Miguel de Tucumán, Argentina -</t>
  </si>
  <si>
    <t>Villa Alem</t>
  </si>
  <si>
    <t>-26.8508363,-65.2096724</t>
  </si>
  <si>
    <t>HTR53F</t>
  </si>
  <si>
    <t>Cafetería Y Panadería Neirot -</t>
  </si>
  <si>
    <t>Bartolomé Mitre 1173, A4400 Salta, Argentina -</t>
  </si>
  <si>
    <t>El Pilar</t>
  </si>
  <si>
    <t>-24.7753336,-65.4096797</t>
  </si>
  <si>
    <t>HTPLM2</t>
  </si>
  <si>
    <t>Lomo Sapiens.</t>
  </si>
  <si>
    <t>1414 Ricardo Gutiérrez -</t>
  </si>
  <si>
    <t>-34.5112193,-58.4893721</t>
  </si>
  <si>
    <t>4M2VF6</t>
  </si>
  <si>
    <t>PedidosYa Market - Escobar Ii</t>
  </si>
  <si>
    <t>430 General Güemes -</t>
  </si>
  <si>
    <t>-34.3576575,-58.78492670000001</t>
  </si>
  <si>
    <t>HTPZTH</t>
  </si>
  <si>
    <t>Funk Food</t>
  </si>
  <si>
    <t>Salvigny 5459, B1757CZM Gregorio de Laferrere, Provincia de Buenos Aires -</t>
  </si>
  <si>
    <t>-34.7478304,-58.598045</t>
  </si>
  <si>
    <t>HTWZUZ</t>
  </si>
  <si>
    <t>Masiburguer.</t>
  </si>
  <si>
    <t>Cabo San Pedro 2189, M5501 Mendoza, Argentina -</t>
  </si>
  <si>
    <t>Las Tortugas</t>
  </si>
  <si>
    <t>-32.9510075,-68.8234642</t>
  </si>
  <si>
    <t>HTR2X2</t>
  </si>
  <si>
    <t>Todo Casero.lp</t>
  </si>
  <si>
    <t>C. 27 entre 524 y 525 792, B1906 La Plata, Argentina -</t>
  </si>
  <si>
    <t>-34.9127941,-57.9982759</t>
  </si>
  <si>
    <t>HTKA3G</t>
  </si>
  <si>
    <t>Trugger</t>
  </si>
  <si>
    <t>Av. San Martín Sur 1295, M5501 Mendoza, Argentina -</t>
  </si>
  <si>
    <t>-32.9387275,-68.8504502</t>
  </si>
  <si>
    <t>HTA2LT</t>
  </si>
  <si>
    <t>Maxiza.</t>
  </si>
  <si>
    <t>La Falda 2314 -</t>
  </si>
  <si>
    <t>-38.6875386526057,-62.27626555092621</t>
  </si>
  <si>
    <t>HT6NJC</t>
  </si>
  <si>
    <t>Caserito - Comidas Caseras</t>
  </si>
  <si>
    <t>FLORENTINO AMEGHINO 125 -</t>
  </si>
  <si>
    <t>-34.81655230000001,-58.46587659999999</t>
  </si>
  <si>
    <t>HTALTV</t>
  </si>
  <si>
    <t>Wally's - Mar Del Plata</t>
  </si>
  <si>
    <t>Las Heras 2280, B7600 Mar del Plata, Argentina -</t>
  </si>
  <si>
    <t>Primera Junta</t>
  </si>
  <si>
    <t>-38.0088103,-57.5416029</t>
  </si>
  <si>
    <t>HTABBE</t>
  </si>
  <si>
    <t>Planetaburger</t>
  </si>
  <si>
    <t>Echeverría 1012, B1661 Bella Vista, Argentina -</t>
  </si>
  <si>
    <t>-34.560239,-58.67849380000001</t>
  </si>
  <si>
    <t>HTA2NE</t>
  </si>
  <si>
    <t>Nori Go</t>
  </si>
  <si>
    <t>Benito Juárez 3363, C1417 Buenos Aires, Argentina -</t>
  </si>
  <si>
    <t>-34.6094024,-58.5142164</t>
  </si>
  <si>
    <t>HTRHCS</t>
  </si>
  <si>
    <t>Brioche - San Martin</t>
  </si>
  <si>
    <t>-34.5445529,-58.5331387</t>
  </si>
  <si>
    <t>HTZ6GK</t>
  </si>
  <si>
    <t>Green Eat Castelar</t>
  </si>
  <si>
    <t>HTRMJC</t>
  </si>
  <si>
    <t>Venefritos 255</t>
  </si>
  <si>
    <t>Caboto 147 Piso 5 Depto 6, C1414 Buenos Aires, Argentina -</t>
  </si>
  <si>
    <t>La Boca</t>
  </si>
  <si>
    <t>-34.6264298,-58.3628217</t>
  </si>
  <si>
    <t>HTPGGL</t>
  </si>
  <si>
    <t>Maitén Pastelería</t>
  </si>
  <si>
    <t>C. 121 1770, B1904 La Plata, Argentina -</t>
  </si>
  <si>
    <t>-34.915287,-57.91803609999999</t>
  </si>
  <si>
    <t>HTRTF0</t>
  </si>
  <si>
    <t>La Caprichosa - Pizzeria</t>
  </si>
  <si>
    <t>Mariano de Vedia 1239, B1667 Tortuguitas, Argentina -</t>
  </si>
  <si>
    <t>Tortuguitas</t>
  </si>
  <si>
    <t>-34.4685321,-58.74304319999999</t>
  </si>
  <si>
    <t>HTRSAS</t>
  </si>
  <si>
    <t>El Origen Del Sabor.</t>
  </si>
  <si>
    <t>Mario bravo 1021 -</t>
  </si>
  <si>
    <t>-34.59752,-58.4157728</t>
  </si>
  <si>
    <t>HWCWGF</t>
  </si>
  <si>
    <t>Chez Churros Take Away</t>
  </si>
  <si>
    <t>Juan Manuel de Rosas 1433 -</t>
  </si>
  <si>
    <t>-32.955625,-60.6331812</t>
  </si>
  <si>
    <t>HTRVHA</t>
  </si>
  <si>
    <t>Don Bajon 443</t>
  </si>
  <si>
    <t>Los Laureles 736, B1664 Manuel Alberti, Argentina -</t>
  </si>
  <si>
    <t>Manuel Alberti</t>
  </si>
  <si>
    <t>-34.4640175,-58.7689366</t>
  </si>
  <si>
    <t>HTRSPV</t>
  </si>
  <si>
    <t>Garra Burgers - Nova Market</t>
  </si>
  <si>
    <t>Rondeau, Adolfo Calle y, 5521 Guaymallén -</t>
  </si>
  <si>
    <t>-32.90853546187594,-68.7907254607132</t>
  </si>
  <si>
    <t>HTAW1N</t>
  </si>
  <si>
    <t>El Gordo Sabe - Colegiales.</t>
  </si>
  <si>
    <t>Av Cabildo 800 -</t>
  </si>
  <si>
    <t>-34.5701759,-58.44477800000001</t>
  </si>
  <si>
    <t>HTRRJR</t>
  </si>
  <si>
    <t>Tienda De Pastas - Paternal</t>
  </si>
  <si>
    <t>Av. San Martin 2610 - CABA -</t>
  </si>
  <si>
    <t>Villa General Mitre</t>
  </si>
  <si>
    <t>-34.603478,-58.4631504</t>
  </si>
  <si>
    <t>HPVU3Q</t>
  </si>
  <si>
    <t>Tercer Tiempo Bar.</t>
  </si>
  <si>
    <t>Pje. Onesimo Leguizamon 7362 -</t>
  </si>
  <si>
    <t>-34.6515973,-58.52452649999999</t>
  </si>
  <si>
    <t>HT6F07</t>
  </si>
  <si>
    <t>Los Reyes Del Gluten</t>
  </si>
  <si>
    <t>Yerbal 4179, B1824 Lanús, Argentina -</t>
  </si>
  <si>
    <t>-34.6962515,-58.42390109999999</t>
  </si>
  <si>
    <t>HTRSWL</t>
  </si>
  <si>
    <t>Hungry Burgers.</t>
  </si>
  <si>
    <t>Av. Benavídez 1879 -</t>
  </si>
  <si>
    <t>-34.4127253,-58.69989959999999</t>
  </si>
  <si>
    <t>HTPKFG</t>
  </si>
  <si>
    <t>Antojo De Barrio.</t>
  </si>
  <si>
    <t>Migueletes 1193, C1426 BUO, Cdad. Autónoma de Buenos Aires -</t>
  </si>
  <si>
    <t>-34.5636556,-58.43844109999999</t>
  </si>
  <si>
    <t>HTAW1R</t>
  </si>
  <si>
    <t>El Gordo Sabe - Caballito</t>
  </si>
  <si>
    <t>Av. Rivadavia 5701 -</t>
  </si>
  <si>
    <t>-34.622317,-58.44596900000001</t>
  </si>
  <si>
    <t>HTWIZE</t>
  </si>
  <si>
    <t>Rotiseria Only Night 514</t>
  </si>
  <si>
    <t>Brasil 173, Luján de Cuyo, Mendoza, Argentina -</t>
  </si>
  <si>
    <t>Carrodilla</t>
  </si>
  <si>
    <t>-32.9648011,-68.8517763</t>
  </si>
  <si>
    <t>HTP0AF</t>
  </si>
  <si>
    <t>Milaneshitas</t>
  </si>
  <si>
    <t>Sgo. del Estero 761, B1623 Ingeniero Maschwitz, Argentina -</t>
  </si>
  <si>
    <t>-34.3942838,-58.7389615</t>
  </si>
  <si>
    <t>HTPZ4H</t>
  </si>
  <si>
    <t>Antojitos Dulces-boulogne</t>
  </si>
  <si>
    <t>GUAYAQUIL 263 - ENTRE LAS CALLES : BOGADO Y LORIA -</t>
  </si>
  <si>
    <t>Boulogne</t>
  </si>
  <si>
    <t>-34.51180009999999,-58.5644394</t>
  </si>
  <si>
    <t>HTAI2R</t>
  </si>
  <si>
    <t>Velarose</t>
  </si>
  <si>
    <t>Benito Villanueva 2773 Timbre 2, B1712 Castelar, Argentina -</t>
  </si>
  <si>
    <t>-34.6349544,-58.6446809</t>
  </si>
  <si>
    <t>HTPK8S</t>
  </si>
  <si>
    <t>Excaliburgers.</t>
  </si>
  <si>
    <t>El Salvador 5575 -</t>
  </si>
  <si>
    <t>-34.5834686,-58.435134</t>
  </si>
  <si>
    <t>HTRFWI</t>
  </si>
  <si>
    <t>El Rincón De Amapola</t>
  </si>
  <si>
    <t>Córdoba 1461, B1630 Pilar, Argentina -</t>
  </si>
  <si>
    <t>-34.4382465,-58.92132110000001</t>
  </si>
  <si>
    <t>HR6HP3</t>
  </si>
  <si>
    <t>Jacinta Empanadas Gourmet</t>
  </si>
  <si>
    <t>MANUEL ESTRADA 502 -</t>
  </si>
  <si>
    <t>-34.4588676,-58.94288899999999</t>
  </si>
  <si>
    <t>HTR75E</t>
  </si>
  <si>
    <t>Azure Pastel</t>
  </si>
  <si>
    <t>Luján 507, B1742 Paso del Rey, Argentina -</t>
  </si>
  <si>
    <t>Paso del Rey</t>
  </si>
  <si>
    <t>-34.6603098,-58.76895349999999</t>
  </si>
  <si>
    <t>HTPK6S</t>
  </si>
  <si>
    <t>Cr Helados - Beccar.</t>
  </si>
  <si>
    <t>396 Juan B. Justo -</t>
  </si>
  <si>
    <t>-34.4620209,-58.5312407</t>
  </si>
  <si>
    <t>HTHZ9C</t>
  </si>
  <si>
    <t>Mago Korean Market</t>
  </si>
  <si>
    <t>C. 473 Bis 217, B1896 City Bell, Argentina -</t>
  </si>
  <si>
    <t>-34.8685268,-58.04280229999999</t>
  </si>
  <si>
    <t>HTHMDD</t>
  </si>
  <si>
    <t>Doña Maria -</t>
  </si>
  <si>
    <t>Antonio Aberastain 3738, B1826 Monte Chingolo, Argentina -</t>
  </si>
  <si>
    <t>Monte Chingolo</t>
  </si>
  <si>
    <t>-34.7398932,-58.3769556</t>
  </si>
  <si>
    <t>HTPANC</t>
  </si>
  <si>
    <t>Atelier Fuerza Villa Del Parque</t>
  </si>
  <si>
    <t>Tinogasta 3229 -</t>
  </si>
  <si>
    <t>-34.600821,-58.49635079999999</t>
  </si>
  <si>
    <t>HTRMAU</t>
  </si>
  <si>
    <t>Brown - Bodegón Argentino.</t>
  </si>
  <si>
    <t>999 Av. Tomás Espora -</t>
  </si>
  <si>
    <t>-34.8018447,-58.3884693</t>
  </si>
  <si>
    <t>HTPAZC</t>
  </si>
  <si>
    <t>Parador 58- Canning</t>
  </si>
  <si>
    <t>Mariano Castex 3151, B1804 Canning, Argentina -</t>
  </si>
  <si>
    <t>-34.8815589,-58.5046295</t>
  </si>
  <si>
    <t>HTPRUI</t>
  </si>
  <si>
    <t>Villa Lomos Challao</t>
  </si>
  <si>
    <t>Circuito -</t>
  </si>
  <si>
    <t>El Challao</t>
  </si>
  <si>
    <t>-32.859016,-68.906883</t>
  </si>
  <si>
    <t>HTRF41</t>
  </si>
  <si>
    <t>C&amp;l Burger</t>
  </si>
  <si>
    <t>Uruguay 2290, B1840 Ezpeleta Oeste, Argentina -</t>
  </si>
  <si>
    <t>Ezpeleta Oeste</t>
  </si>
  <si>
    <t>-34.7605137,-58.2657506</t>
  </si>
  <si>
    <t>HTRAUD</t>
  </si>
  <si>
    <t>Prohibido Cookies</t>
  </si>
  <si>
    <t>Av. Roca 909, 1870 Avellaneda, Argentina -</t>
  </si>
  <si>
    <t>-34.6597031,-58.3584263</t>
  </si>
  <si>
    <t>HTRLHC</t>
  </si>
  <si>
    <t>Sen Sori</t>
  </si>
  <si>
    <t>A del Valle 491, M5500 Mendoza, Argentina -</t>
  </si>
  <si>
    <t>-32.8784264,-68.8544486</t>
  </si>
  <si>
    <t>HTAQQQ</t>
  </si>
  <si>
    <t>Lumé Pastelería</t>
  </si>
  <si>
    <t>San Sebastián 469, C1405 Buenos Aires, Argentina -</t>
  </si>
  <si>
    <t>-34.6116605,-58.4343643</t>
  </si>
  <si>
    <t>HTR5VZ</t>
  </si>
  <si>
    <t>Guacho</t>
  </si>
  <si>
    <t>Calle: DIAGONAL ESTADOS UNIDOS 295 LOCAL DE LA ESQUINA, VENTANAS VERDES -</t>
  </si>
  <si>
    <t>Alfar</t>
  </si>
  <si>
    <t>-38.09191734108328,-57.55627914484404</t>
  </si>
  <si>
    <t>HTWJK6</t>
  </si>
  <si>
    <t>La Factory Food &amp; Coffee</t>
  </si>
  <si>
    <t>Emilio Frers 2134, B1640 Buenos Aires, Argentina -</t>
  </si>
  <si>
    <t>-34.5056214,-58.53241089999999</t>
  </si>
  <si>
    <t>HTA1TW</t>
  </si>
  <si>
    <t>La Cantina De Lomos A Las Brasas- Chacras</t>
  </si>
  <si>
    <t>Mitre 1353, M5505 Luján de Cuyo, Mendoza -</t>
  </si>
  <si>
    <t>Chacras de Coria</t>
  </si>
  <si>
    <t>-32.98658461433612,-68.88571011772159</t>
  </si>
  <si>
    <t>HTPZDA</t>
  </si>
  <si>
    <t>Taco Argento</t>
  </si>
  <si>
    <t>Gregorio Aráoz de Lamadrid 1465, B1804 Ezeiza, Argentina -</t>
  </si>
  <si>
    <t>-34.870306,-58.5194051</t>
  </si>
  <si>
    <t>HT84EA</t>
  </si>
  <si>
    <t>Barba Buffet.</t>
  </si>
  <si>
    <t>Moreno 72, Quilmes -</t>
  </si>
  <si>
    <t>-34.7131068,-58.2649231</t>
  </si>
  <si>
    <t>HTAW1K</t>
  </si>
  <si>
    <t>El Gordo Sabe - San Fernando</t>
  </si>
  <si>
    <t>Constitucion 900 -</t>
  </si>
  <si>
    <t>-34.4397869,-58.55814480000001</t>
  </si>
  <si>
    <t>HTA35B</t>
  </si>
  <si>
    <t>Qr Grill</t>
  </si>
  <si>
    <t>Lucio Salvadores 369, B1804 Ezeiza, Argentina -</t>
  </si>
  <si>
    <t>-34.8487547,-58.51362570000001</t>
  </si>
  <si>
    <t>HTAVRX</t>
  </si>
  <si>
    <t>Lo De Néstor -</t>
  </si>
  <si>
    <t>Margarita Weild 2325, B1824 Lanús, Argentina -</t>
  </si>
  <si>
    <t>-34.7164968,-58.37992759999999</t>
  </si>
  <si>
    <t>HTKECA</t>
  </si>
  <si>
    <t>Mummibakery.</t>
  </si>
  <si>
    <t>Avenida Bach 439, Villa Carlos Paz, Provincia de Córdoba, Argentina -</t>
  </si>
  <si>
    <t>Náutico</t>
  </si>
  <si>
    <t>-31.3940124,-64.464246</t>
  </si>
  <si>
    <t>HTRP46</t>
  </si>
  <si>
    <t>Don Bigote .</t>
  </si>
  <si>
    <t>Manuel A. Padilla 528, B1688 Villa Tesei, Provincia de Buenos Aires -</t>
  </si>
  <si>
    <t>Villa Tesei</t>
  </si>
  <si>
    <t>-34.6129498,-58.639452</t>
  </si>
  <si>
    <t>HTZHC7</t>
  </si>
  <si>
    <t>Mousse Patio Olmos.</t>
  </si>
  <si>
    <t>361 Av. Vélez Sarsfield -</t>
  </si>
  <si>
    <t>-31.4198818,-64.1882711</t>
  </si>
  <si>
    <t>HTP8EE</t>
  </si>
  <si>
    <t>Cruji Pollo 2.</t>
  </si>
  <si>
    <t>Marmol 575 -</t>
  </si>
  <si>
    <t>-34.4613367,-58.89330369999999</t>
  </si>
  <si>
    <t>HTAIYS</t>
  </si>
  <si>
    <t>Indios Burger</t>
  </si>
  <si>
    <t>Andrés Baranda 3326, B1879 Quilmes, Argentina -</t>
  </si>
  <si>
    <t>-34.7435155,-58.2552073</t>
  </si>
  <si>
    <t>HTAW1X</t>
  </si>
  <si>
    <t>El Gordo Sabe - Nuñez</t>
  </si>
  <si>
    <t>Crisólogo Larralde 2375</t>
  </si>
  <si>
    <t>-34.54869697349528,-58.46800324051018</t>
  </si>
  <si>
    <t>HTA1QW</t>
  </si>
  <si>
    <t>Brisas De Italia</t>
  </si>
  <si>
    <t>Av. Juan XXIII 171, B1832 Lomas de Zamora, Argentina -</t>
  </si>
  <si>
    <t>-34.7673939,-58.43715830000001</t>
  </si>
  <si>
    <t>HTEVDP</t>
  </si>
  <si>
    <t>Resto Bar No Hay Nada Igual.</t>
  </si>
  <si>
    <t>Mariquita Thompson 10 esquina covara, B1751 Villa Madero, Argentina -</t>
  </si>
  <si>
    <t>Tablada</t>
  </si>
  <si>
    <t>-34.6794433,-58.5098643</t>
  </si>
  <si>
    <t>HTA32H</t>
  </si>
  <si>
    <t>Croma</t>
  </si>
  <si>
    <t>Bombal y las Moreras Mza 29 Cs 6, M5540 Mendoza, Argentina -</t>
  </si>
  <si>
    <t>-32.8587729,-68.8554983</t>
  </si>
  <si>
    <t>HTACMP</t>
  </si>
  <si>
    <t>Tacos Wing King Ituzaingó -</t>
  </si>
  <si>
    <t>Paul Groussac 2540, B1714 DRR, Argentina -</t>
  </si>
  <si>
    <t>-34.6559604,-58.68998789999999</t>
  </si>
  <si>
    <t>HTK1PI</t>
  </si>
  <si>
    <t>My Burgers 444</t>
  </si>
  <si>
    <t>Pizzurno 104 -</t>
  </si>
  <si>
    <t>-34.6452432,-58.55792760000001</t>
  </si>
  <si>
    <t>HTRTMN</t>
  </si>
  <si>
    <t>Mr Tasty - Muñiz</t>
  </si>
  <si>
    <t>Av. Pte. J. D. Perón 886 -</t>
  </si>
  <si>
    <t>-34.5477617,-58.70403819999999</t>
  </si>
  <si>
    <t>HTWS3K</t>
  </si>
  <si>
    <t>Big Pizza - Balvanera 2</t>
  </si>
  <si>
    <t>Viamonte 2399 4f, C1056ABK Cdad. Autónoma de Buenos Aires, Argentina -</t>
  </si>
  <si>
    <t>HTR7XT</t>
  </si>
  <si>
    <t>Flame Fast Food</t>
  </si>
  <si>
    <t>Jorge de Kay 297, B1846 Adrogué, Argentina -</t>
  </si>
  <si>
    <t>-34.8003062,-58.4065409</t>
  </si>
  <si>
    <t>HTPH1K</t>
  </si>
  <si>
    <t>La Seleccion.</t>
  </si>
  <si>
    <t>Bernardo de Monteagudo 2599 -</t>
  </si>
  <si>
    <t>-34.8025113,-58.2751872</t>
  </si>
  <si>
    <t>HTZV6N</t>
  </si>
  <si>
    <t>Trapburg 848</t>
  </si>
  <si>
    <t>Belgrano 965, Godoy cruz, Mendoza. -</t>
  </si>
  <si>
    <t>-32.9143377,-68.8422677</t>
  </si>
  <si>
    <t>HPBG1R</t>
  </si>
  <si>
    <t>Tres Restaurante.</t>
  </si>
  <si>
    <t>Av. Meeks 852, B1834 Temperley, Provincia de Buenos Aires, Argentina -</t>
  </si>
  <si>
    <t>Temperley</t>
  </si>
  <si>
    <t>-34.7714,-58.3977</t>
  </si>
  <si>
    <t>HTWN7S</t>
  </si>
  <si>
    <t>Panadería Y Confitería La Esperanza - Irigoin</t>
  </si>
  <si>
    <t>Int. Juan Irigoin 2052 -</t>
  </si>
  <si>
    <t>-34.5424325,-58.7273213</t>
  </si>
  <si>
    <t>HTZ9A2</t>
  </si>
  <si>
    <t>Villa.burger</t>
  </si>
  <si>
    <t>Sta Fe 380, X5022 Córdoba -</t>
  </si>
  <si>
    <t>Alberdi</t>
  </si>
  <si>
    <t>-31.406459,-64.1997848</t>
  </si>
  <si>
    <t>HTK2LV</t>
  </si>
  <si>
    <t>Churrico Restaurante La Barraca</t>
  </si>
  <si>
    <t>Las Cañas 1833, M5519 Dorrego, Mendoza -</t>
  </si>
  <si>
    <t>-32.916012,-68.8220546</t>
  </si>
  <si>
    <t>HTPLOC</t>
  </si>
  <si>
    <t>El Argentino 765</t>
  </si>
  <si>
    <t>Av. Calle Real 82 -</t>
  </si>
  <si>
    <t>-34.67343020000001,-58.72274309999999</t>
  </si>
  <si>
    <t>HTZJ2D</t>
  </si>
  <si>
    <t>Rith Themed Restobar.</t>
  </si>
  <si>
    <t>1300 Av. del Bicentenario de la Batalla de Salta -</t>
  </si>
  <si>
    <t>-24.7743454,-65.3992454</t>
  </si>
  <si>
    <t>HTRKNO</t>
  </si>
  <si>
    <t>Ntpizzas</t>
  </si>
  <si>
    <t>Adrian de Rosario Luna 2831, William C. Morris, Provincia de Buenos Aires, Argentina -</t>
  </si>
  <si>
    <t>-34.5904723,-58.6598272</t>
  </si>
  <si>
    <t>HTWTT5</t>
  </si>
  <si>
    <t>Burger Smash 576</t>
  </si>
  <si>
    <t>Pasaje Alvear 7861, X5147 Córdoba, Argentina -</t>
  </si>
  <si>
    <t>Los Boulevares</t>
  </si>
  <si>
    <t>-31.33044679999999,-64.2629582</t>
  </si>
  <si>
    <t>HTKALF</t>
  </si>
  <si>
    <t>La Nueva Salsa Sj.</t>
  </si>
  <si>
    <t>Juan Agustín García 1998, C1416 Buenos Aires, Argentina -</t>
  </si>
  <si>
    <t>-34.6047355,-58.4708874</t>
  </si>
  <si>
    <t>HTPA5J</t>
  </si>
  <si>
    <t>Ribs Al Rio - Unicenter</t>
  </si>
  <si>
    <t>Paraná 3745 LOCAL 3525 -</t>
  </si>
  <si>
    <t>-34.5078011,-58.5250603</t>
  </si>
  <si>
    <t>HTAL0G</t>
  </si>
  <si>
    <t>Ibiza / Ay Caramba</t>
  </si>
  <si>
    <t>Av. Pres. Arturo Illia 1372, B1650 Villa Maipú, Argentina -</t>
  </si>
  <si>
    <t>-34.5673403,-58.51530640000001</t>
  </si>
  <si>
    <t>HTPZJ6</t>
  </si>
  <si>
    <t>El Bajon Burger´s</t>
  </si>
  <si>
    <t>Isabel la Catolica 3307, B1663 San Miguel, Argentina -</t>
  </si>
  <si>
    <t>-34.5613176,-58.76550760000001</t>
  </si>
  <si>
    <t>HTWSN8</t>
  </si>
  <si>
    <t>100x100 Lomo Barrio Jardin -</t>
  </si>
  <si>
    <t>Avenida Bernardo O´Higgins 3151, X5000 Córdoba, Argentina -</t>
  </si>
  <si>
    <t>Oña</t>
  </si>
  <si>
    <t>-31.4486,-64.168686</t>
  </si>
  <si>
    <t>HTE1PT</t>
  </si>
  <si>
    <t>Medialunas Emi</t>
  </si>
  <si>
    <t>Juan de Garay 1646, B1878 Quilmes, Provincia de Buenos Aires -</t>
  </si>
  <si>
    <t>-34.715506,-58.222475</t>
  </si>
  <si>
    <t>HTRR8X</t>
  </si>
  <si>
    <t>Fabric Sushi -  Francisco Alvarez</t>
  </si>
  <si>
    <t>José Ignacio Gorriti 1215, B1746 Francisco Alvarez, Provincia de Buenos Aires, Argentina -</t>
  </si>
  <si>
    <t>Francisco Álvarez</t>
  </si>
  <si>
    <t>-34.6041256,-58.86486139999999</t>
  </si>
  <si>
    <t>HTRK60</t>
  </si>
  <si>
    <t>Trentino Pastas Frescas</t>
  </si>
  <si>
    <t>475 Granaderos -</t>
  </si>
  <si>
    <t>-34.5761681,-58.6377058</t>
  </si>
  <si>
    <t>HTRSW2</t>
  </si>
  <si>
    <t>El Club Del Wrap - San Miguel De Tucumán</t>
  </si>
  <si>
    <t>Av. 24 de Septiembre 511, T4000CNK San Miguel de Tucumán, Tucumán, Argentina -</t>
  </si>
  <si>
    <t>-26.8307533,-65.2048989</t>
  </si>
  <si>
    <t>HTPGCM</t>
  </si>
  <si>
    <t>Milanguitas.</t>
  </si>
  <si>
    <t>Ntra Sra del Buen Viaje 1227, B1708 Morón, Provincia de Buenos Aires -</t>
  </si>
  <si>
    <t>-34.6514678,-58.625562</t>
  </si>
  <si>
    <t>HT6AMG</t>
  </si>
  <si>
    <t>Nordkapp Café/bar</t>
  </si>
  <si>
    <t>Maipú 90, X5152 Villa Carlos Paz, Córdoba -</t>
  </si>
  <si>
    <t>-31.4188326,-64.4925758</t>
  </si>
  <si>
    <t>4OV7N5</t>
  </si>
  <si>
    <t>Pastas Ramos - Lavalle</t>
  </si>
  <si>
    <t>LAVALLE 67
AVELLANEDA 
1870-BUENOS AIRES -</t>
  </si>
  <si>
    <t>-34.6628149,-58.3664945</t>
  </si>
  <si>
    <t>HTRF36</t>
  </si>
  <si>
    <t>Catalina Food &amp; Drinks</t>
  </si>
  <si>
    <t>Oncativo 1830, B1824 Lanús, Argentina -</t>
  </si>
  <si>
    <t>-34.7091637,-58.3853264</t>
  </si>
  <si>
    <t>HTA1OW</t>
  </si>
  <si>
    <t>El Rey Del Sabor 776</t>
  </si>
  <si>
    <t>Pl. Dardo Rocha 113 Panaderia el rey del sabor, B1904 La Plata, Argentina -</t>
  </si>
  <si>
    <t>-34.9217139,-57.9420593</t>
  </si>
  <si>
    <t>HTA0OP</t>
  </si>
  <si>
    <t>Chicken Chill - Cramer</t>
  </si>
  <si>
    <t>Av. Crámer 2893, C1428 Cdad. Autónoma de Buenos Aires (DENTRO DEL LOCAL DE KENTUCKY) -</t>
  </si>
  <si>
    <t>-34.55793511329764,-58.46692836564561</t>
  </si>
  <si>
    <t>HTPLPE</t>
  </si>
  <si>
    <t>Noah's Green Kitchen - Villa Crespo I</t>
  </si>
  <si>
    <t>Dr. Luis Belaustegui 802 -</t>
  </si>
  <si>
    <t>-34.6038882,-58.453564</t>
  </si>
  <si>
    <t>HTAOCS</t>
  </si>
  <si>
    <t>Amigados.</t>
  </si>
  <si>
    <t>Castelli 1356 -</t>
  </si>
  <si>
    <t>-38.0154348,-57.5423932</t>
  </si>
  <si>
    <t>HTPG6W</t>
  </si>
  <si>
    <t>Belgrano 348</t>
  </si>
  <si>
    <t>Belgrano 629, B8000 Bahía Blanca, Argentina -</t>
  </si>
  <si>
    <t>-38.7139181,-62.25674360000001</t>
  </si>
  <si>
    <t>HTRR3G</t>
  </si>
  <si>
    <t>Pizza Planeta - Quilmes</t>
  </si>
  <si>
    <t>Int. Pedro Oliveri 3878 -</t>
  </si>
  <si>
    <t>-34.7379559,-58.3025294</t>
  </si>
  <si>
    <t>HTPK5M</t>
  </si>
  <si>
    <t>El Club De La Milanesa Pollo Barracas</t>
  </si>
  <si>
    <t>Brandsen 1701 , 1425, Buenos Aires, Argentina -</t>
  </si>
  <si>
    <t>Barracas</t>
  </si>
  <si>
    <t>-34.6377731,-58.3778965</t>
  </si>
  <si>
    <t>HT863V</t>
  </si>
  <si>
    <t>Aura Café Et Patisserie.</t>
  </si>
  <si>
    <t>Perú 202, B1641 Acassuso, Argentina -</t>
  </si>
  <si>
    <t>Acassuso</t>
  </si>
  <si>
    <t>-34.4789857,-58.504634</t>
  </si>
  <si>
    <t>HTPKCW</t>
  </si>
  <si>
    <t>El Club De La Milanesa Pollo  Pilar</t>
  </si>
  <si>
    <t>50km, Shopping Torres del Sol, Colectora Este Ramal Pilar, Pilar Centro, Provincia de Buenos Aires -</t>
  </si>
  <si>
    <t>-34.44268220635699,-58.87385979123229</t>
  </si>
  <si>
    <t>HTPZ5A</t>
  </si>
  <si>
    <t>Rey Kroc</t>
  </si>
  <si>
    <t>Av. Sarmiento 867, A4400 Salta, Argentina -</t>
  </si>
  <si>
    <t>20 de Febrero</t>
  </si>
  <si>
    <t>-24.7787343,-65.4156215</t>
  </si>
  <si>
    <t>HTKE3H</t>
  </si>
  <si>
    <t>El Chulenguito.</t>
  </si>
  <si>
    <t>Lavalle 1892 -</t>
  </si>
  <si>
    <t>-34.6033129,-58.3938301</t>
  </si>
  <si>
    <t>HTRC7H</t>
  </si>
  <si>
    <t>Mailho   - Chacras</t>
  </si>
  <si>
    <t>Almte. Brown 1115, M5505 Chacras de Coria, Mendoza -</t>
  </si>
  <si>
    <t>-33.0049631,-68.8791158</t>
  </si>
  <si>
    <t>HTWRD4</t>
  </si>
  <si>
    <t>Mamba Ezeiza</t>
  </si>
  <si>
    <t>Paso de la Patria 55 Paso de la patria esquina zenavilla, B1804 Ezeiza, Argentina -</t>
  </si>
  <si>
    <t>-34.85254219999999,-58.5190029</t>
  </si>
  <si>
    <t>HTPE7T</t>
  </si>
  <si>
    <t>Heladeria Icemoon</t>
  </si>
  <si>
    <t>Marcos Mora 979, B8001JPQ Bahía Blanca, Provincia de Buenos Aires -</t>
  </si>
  <si>
    <t>Oasis</t>
  </si>
  <si>
    <t>-38.7419594,-62.2183857</t>
  </si>
  <si>
    <t>HTPAQ3</t>
  </si>
  <si>
    <t>Frank Beer.</t>
  </si>
  <si>
    <t>25 de Mayo 741, T4000 San Miguel de Tucumán, Tucumán -</t>
  </si>
  <si>
    <t>Barrio Norte</t>
  </si>
  <si>
    <t>-26.8210053,-65.2022274</t>
  </si>
  <si>
    <t>HTRKY6</t>
  </si>
  <si>
    <t>Lajosefa</t>
  </si>
  <si>
    <t>Juan Francisco Seguí 1205, B1615 Grand Bourg, Argentina -</t>
  </si>
  <si>
    <t>-34.4874904,-58.7213308</t>
  </si>
  <si>
    <t>HTRQR7</t>
  </si>
  <si>
    <t>La Previa Ezeiza</t>
  </si>
  <si>
    <t>20 de Septiembre 313, B1804 Ezeiza, Argentina -</t>
  </si>
  <si>
    <t>-34.8467641,-58.5141273</t>
  </si>
  <si>
    <t>HTRMZU</t>
  </si>
  <si>
    <t>Churrasquinhobrasil</t>
  </si>
  <si>
    <t>Av. 25 9, B1902 La Plata, Argentina -</t>
  </si>
  <si>
    <t>-34.9176902,-57.9873309</t>
  </si>
  <si>
    <t>HTPKBB</t>
  </si>
  <si>
    <t>Mistura Y Sazon.</t>
  </si>
  <si>
    <t>790 Fragueiro -</t>
  </si>
  <si>
    <t>-34.6296735,-58.5290871</t>
  </si>
  <si>
    <t>HKBCF8</t>
  </si>
  <si>
    <t>El Hornero .</t>
  </si>
  <si>
    <t>Calle 7 esq 68 número 1754 -</t>
  </si>
  <si>
    <t>-34.9275759,-57.9322982</t>
  </si>
  <si>
    <t>HTPLWI</t>
  </si>
  <si>
    <t>Yunta - Salta</t>
  </si>
  <si>
    <t>12 de Octubre 813, A4400 Salta, Argentina -</t>
  </si>
  <si>
    <t>-24.7747651,-65.4125585</t>
  </si>
  <si>
    <t>HTK0WI</t>
  </si>
  <si>
    <t>Rustic Burguer</t>
  </si>
  <si>
    <t>Pino 279, B1846 Malvinas Argentinas, Argentina -</t>
  </si>
  <si>
    <t>-34.8137315,-58.4023602</t>
  </si>
  <si>
    <t>HTGLHN</t>
  </si>
  <si>
    <t>Ale Sushi.</t>
  </si>
  <si>
    <t>SALVADOR SALLARES 383 -</t>
  </si>
  <si>
    <t>-34.8077475,-58.2718551</t>
  </si>
  <si>
    <t>HTP8OX</t>
  </si>
  <si>
    <t>Central De Pizzas Y Empanadas Palermo 7</t>
  </si>
  <si>
    <t>Av. Sta. Fe 3310, C1425 Cdad. Autónoma de Buenos Aires, Argentina -</t>
  </si>
  <si>
    <t>-34.5880765,-58.41186130000001</t>
  </si>
  <si>
    <t>HTRM6G</t>
  </si>
  <si>
    <t>Rompiendo El Molde - Ituzaingó</t>
  </si>
  <si>
    <t>Treinta y Tres 250, B1714 Ituzaingó, Argentina -</t>
  </si>
  <si>
    <t>-34.6415034,-58.6603157</t>
  </si>
  <si>
    <t>HTWYWI</t>
  </si>
  <si>
    <t>Pelayo Pizzeria</t>
  </si>
  <si>
    <t>Vicente López 1702, C1018 Buenos Aires, Argentina -</t>
  </si>
  <si>
    <t>-34.59169079999999,-58.3900233</t>
  </si>
  <si>
    <t>4M7K3C</t>
  </si>
  <si>
    <t>Hamburguesas Maradona - Lomas De Zamora</t>
  </si>
  <si>
    <t>4M2M9I</t>
  </si>
  <si>
    <t>Punto 33 - Las Heras</t>
  </si>
  <si>
    <t>712 Av. San Martín -</t>
  </si>
  <si>
    <t>-32.8586464,-68.83348730000002</t>
  </si>
  <si>
    <t>HTAOJN</t>
  </si>
  <si>
    <t>Melmel</t>
  </si>
  <si>
    <t>Lamadrid   1464</t>
  </si>
  <si>
    <t>-32.90440964509685,-68.82167270214089</t>
  </si>
  <si>
    <t>HTA2ZS</t>
  </si>
  <si>
    <t>Fiambres Y Quesos Hamdan.</t>
  </si>
  <si>
    <t>av.colon 340 -</t>
  </si>
  <si>
    <t>Ciudadela</t>
  </si>
  <si>
    <t>-26.8297597,-65.23319769999999</t>
  </si>
  <si>
    <t>HTPKWZ</t>
  </si>
  <si>
    <t>El Genio De La Parilla Árabe</t>
  </si>
  <si>
    <t>Alsina 1180, A4400 Salta, Argentina -</t>
  </si>
  <si>
    <t>-24.77943,-65.41798</t>
  </si>
  <si>
    <t>HTZC5W</t>
  </si>
  <si>
    <t>Pizza Italia -</t>
  </si>
  <si>
    <t>Italia 4657, B1602 Florida Oeste, Argentina -</t>
  </si>
  <si>
    <t>Florida Oeste</t>
  </si>
  <si>
    <t>-34.53826,-58.524</t>
  </si>
  <si>
    <t>HTA623</t>
  </si>
  <si>
    <t>Tequesugar</t>
  </si>
  <si>
    <t>San Luis 2947, C1186 Buenos Aires, Argentina -</t>
  </si>
  <si>
    <t>-34.5995453,-58.4067858</t>
  </si>
  <si>
    <t>HTA5DL</t>
  </si>
  <si>
    <t>Donkey Queso</t>
  </si>
  <si>
    <t>Estanislao Zeballos 3068, B1872 Sarandí, Argentina -</t>
  </si>
  <si>
    <t>-34.6779476,-58.3447864</t>
  </si>
  <si>
    <t>4OV3AK</t>
  </si>
  <si>
    <t>Eve Lau</t>
  </si>
  <si>
    <t>Av. Pellegrini 1612 -</t>
  </si>
  <si>
    <t>-32.9558291,-60.64804350000001</t>
  </si>
  <si>
    <t>HTR5F7</t>
  </si>
  <si>
    <t>Sanguchería Galía - Tucuman</t>
  </si>
  <si>
    <t>523 Av. Gral. Roca -</t>
  </si>
  <si>
    <t>-26.8429137,-65.2080417</t>
  </si>
  <si>
    <t>4MMID6</t>
  </si>
  <si>
    <t>Carnave Granja - General Paz</t>
  </si>
  <si>
    <t>24 de septiembre 793, Cordoba Capital, Cordoba. -</t>
  </si>
  <si>
    <t>-31.4151741,-64.1721854</t>
  </si>
  <si>
    <t>HTA2BG</t>
  </si>
  <si>
    <t>Zenko Sushi.</t>
  </si>
  <si>
    <t>Iberá 277 277</t>
  </si>
  <si>
    <t>-34.6711872,-58.3485234</t>
  </si>
  <si>
    <t>HTRB2V</t>
  </si>
  <si>
    <t>Chocolateau</t>
  </si>
  <si>
    <t>R. Caamaño 662 Chocolateau, B1631 Villa Rosa, Argentina -</t>
  </si>
  <si>
    <t>-34.4300096,-58.83393719999999</t>
  </si>
  <si>
    <t>HTLS6T</t>
  </si>
  <si>
    <t>Roma Pizzería Monte Grande</t>
  </si>
  <si>
    <t>Uruguay 450 -</t>
  </si>
  <si>
    <t>-34.8347349,-58.4619825</t>
  </si>
  <si>
    <t>4M2MIG</t>
  </si>
  <si>
    <t>Punto 33 Dorrego</t>
  </si>
  <si>
    <t>Joaquín V. González 730, M5521 Mendoza, Argentina -</t>
  </si>
  <si>
    <t>-32.9008743,-68.82898759999999</t>
  </si>
  <si>
    <t>HTWNTM</t>
  </si>
  <si>
    <t>La Churroneta</t>
  </si>
  <si>
    <t>Av. Rodríguez Peña 5101, B1672 Villa Bernardo Monteagudo, Argentina -</t>
  </si>
  <si>
    <t>-34.5946208,-58.53805440000001</t>
  </si>
  <si>
    <t>HTRCZI</t>
  </si>
  <si>
    <t>Bonnie Y Clyde</t>
  </si>
  <si>
    <t>Patricios 1945, B8000 Bahía Blanca, Argentina -</t>
  </si>
  <si>
    <t>La Piedad</t>
  </si>
  <si>
    <t>-38.730636,-62.29490569999999</t>
  </si>
  <si>
    <t>HTLSCL</t>
  </si>
  <si>
    <t>Rotisería Las Tres Bbb</t>
  </si>
  <si>
    <t>Saavedra 1217, B1648 Tigre, Argentina -</t>
  </si>
  <si>
    <t>-34.4338155,-58.580302</t>
  </si>
  <si>
    <t>HTABGR</t>
  </si>
  <si>
    <t>Club House Villanueva</t>
  </si>
  <si>
    <t>San Patricio 2900, 1621 Dique Luján, Argentina -</t>
  </si>
  <si>
    <t>Dique Luján</t>
  </si>
  <si>
    <t>-34.3884636,-58.6853174</t>
  </si>
  <si>
    <t>HTR5I5</t>
  </si>
  <si>
    <t>Mi Hamburguesa Favorita</t>
  </si>
  <si>
    <t>España 496 lomas de Zamora -</t>
  </si>
  <si>
    <t>-34.7664142,-58.3999475</t>
  </si>
  <si>
    <t>HTLB4J</t>
  </si>
  <si>
    <t>Somospizza</t>
  </si>
  <si>
    <t>C. 480 140 Llegando casi a 139,local de chapa, si entras x 138 mano derecha,x 139 mano izq, B1898 Gonnet, Argentina -</t>
  </si>
  <si>
    <t>-34.9038872,-58.0501888</t>
  </si>
  <si>
    <t>HTACJJ</t>
  </si>
  <si>
    <t>Bros - La Plata</t>
  </si>
  <si>
    <t>Calle 43 -</t>
  </si>
  <si>
    <t>San Carlos</t>
  </si>
  <si>
    <t>-34.94911769477634,-57.99927237108285</t>
  </si>
  <si>
    <t>HTA180</t>
  </si>
  <si>
    <t>Los Angeles Pizzería</t>
  </si>
  <si>
    <t>Los Potros 1293, B1715 Villa Udaondo, Argentina -</t>
  </si>
  <si>
    <t>Parque Leloir</t>
  </si>
  <si>
    <t>-34.6301437,-58.6720112</t>
  </si>
  <si>
    <t>HTRKUL</t>
  </si>
  <si>
    <t>La Familia 410</t>
  </si>
  <si>
    <t>Chiclana 2694 Puerta blanca .. golpear fuerte, B8001 Bahía Blanca, Argentina -</t>
  </si>
  <si>
    <t>-38.7413264,-62.237231</t>
  </si>
  <si>
    <t>HTK8VJ</t>
  </si>
  <si>
    <t>Sabores Express Adrogué</t>
  </si>
  <si>
    <t>Esteban de Adrogue 1097 -</t>
  </si>
  <si>
    <t>-34.7985212,-58.39136679999999</t>
  </si>
  <si>
    <t>HP1QRJ</t>
  </si>
  <si>
    <t>Ale Al Plato.</t>
  </si>
  <si>
    <t>París 257, B1706 Haedo, Argentina -</t>
  </si>
  <si>
    <t>-34.6429169,-58.6012071</t>
  </si>
  <si>
    <t>HTRFHL</t>
  </si>
  <si>
    <t>La Vieja Esquina 302</t>
  </si>
  <si>
    <t>Garay 1098, S2001 Rosario, Argentina -</t>
  </si>
  <si>
    <t>España y Hospitales</t>
  </si>
  <si>
    <t>-32.9743821,-60.6450291</t>
  </si>
  <si>
    <t>HTWNQ0</t>
  </si>
  <si>
    <t>Poked - Nuñez</t>
  </si>
  <si>
    <t>Crisólogo Larralde 1602, Núñez, Ciudad Autónoma de Buenos Aires, Argentina -</t>
  </si>
  <si>
    <t>-34.5452827,-58.46048159999999</t>
  </si>
  <si>
    <t>HTWZ3T</t>
  </si>
  <si>
    <t>Panificación Riquisima.</t>
  </si>
  <si>
    <t>Av. Solano Vera 958, T4107 Tucumán, Argentina -</t>
  </si>
  <si>
    <t>-26.8230877,-65.30493919999999</t>
  </si>
  <si>
    <t>HTRWPA</t>
  </si>
  <si>
    <t>Sandwiches De Miga Lo De Faby</t>
  </si>
  <si>
    <t>Buenos Aires 4785 -</t>
  </si>
  <si>
    <t>-34.5474161,-58.5512407</t>
  </si>
  <si>
    <t>HTA12Y</t>
  </si>
  <si>
    <t>Loren Burgers</t>
  </si>
  <si>
    <t>Brig. Gral. Juan Manuel de Rosas 899, B1661 San Miguel, Argentina -</t>
  </si>
  <si>
    <t>-34.59422929999999,-58.7208684</t>
  </si>
  <si>
    <t>4M7K31</t>
  </si>
  <si>
    <t>Wraps Maradona - Lomas De Zamora</t>
  </si>
  <si>
    <t>HTZMYB</t>
  </si>
  <si>
    <t>Nacido Criado.</t>
  </si>
  <si>
    <t>Balcarce 2825 mar del plata -</t>
  </si>
  <si>
    <t>-37.9933258,-57.54521320000001</t>
  </si>
  <si>
    <t>HTPKGR</t>
  </si>
  <si>
    <t>Pal Horno</t>
  </si>
  <si>
    <t>Gral.Savio 3488. Polvorines, Argentina -</t>
  </si>
  <si>
    <t>-34.5000836,-58.6958018</t>
  </si>
  <si>
    <t>HTZ1DN</t>
  </si>
  <si>
    <t>Almay</t>
  </si>
  <si>
    <t>Luis María Drago 362, C1414AIH Cdad. Autónoma de Buenos Aires, Argentina -</t>
  </si>
  <si>
    <t>-34.6009559,-58.4379117</t>
  </si>
  <si>
    <t>HTPLSJ</t>
  </si>
  <si>
    <t>Chantilly</t>
  </si>
  <si>
    <t>Punilla 40, X5152 Villa Carlos Paz, Argentina -</t>
  </si>
  <si>
    <t>-31.4247728,-64.502116</t>
  </si>
  <si>
    <t>HTR5SW</t>
  </si>
  <si>
    <t>Super Caandy</t>
  </si>
  <si>
    <t>Av. Pres. Dr. Arturo Umberto Illia 2496 Edificio (2D), esquina Arieta, B1754 San Justo, Argentina -</t>
  </si>
  <si>
    <t>-34.6758953,-58.5639684</t>
  </si>
  <si>
    <t>HTBSVB</t>
  </si>
  <si>
    <t>Full Panchos 210</t>
  </si>
  <si>
    <t>Carola Lorenzini 150, M5504 Mendoza, Argentina -</t>
  </si>
  <si>
    <t>-32.9219917,-68.8492796</t>
  </si>
  <si>
    <t>HTWTJB</t>
  </si>
  <si>
    <t>Brozziano  Juncal.</t>
  </si>
  <si>
    <t>juncal 3059 -</t>
  </si>
  <si>
    <t>-34.5868239,-58.40774339999999</t>
  </si>
  <si>
    <t>HTPLWH</t>
  </si>
  <si>
    <t>El Club Del Wrap - Caballito</t>
  </si>
  <si>
    <t>Av. La Plata 720 CABA CP1235 -</t>
  </si>
  <si>
    <t>-34.6238786,-58.42724959999999</t>
  </si>
  <si>
    <t>HTZOTZ</t>
  </si>
  <si>
    <t>Mae Pizzeria</t>
  </si>
  <si>
    <t>San Lorenzo 127, T4107 Tucumán, Argentina -</t>
  </si>
  <si>
    <t>-26.8146418,-65.2942875</t>
  </si>
  <si>
    <t>HTPGFY</t>
  </si>
  <si>
    <t>La Nueva Fatima Wilde</t>
  </si>
  <si>
    <t>Martin Fierro 517 -</t>
  </si>
  <si>
    <t>-34.6984757,-58.3131643</t>
  </si>
  <si>
    <t>HTR5H1</t>
  </si>
  <si>
    <t>Cuenta Ganado</t>
  </si>
  <si>
    <t>Martín Fierro 3351, B1713 Villa Udaondo, Argentina -</t>
  </si>
  <si>
    <t>-34.6251215,-58.6945159</t>
  </si>
  <si>
    <t>HTZHPA</t>
  </si>
  <si>
    <t>La Bodeguita De René</t>
  </si>
  <si>
    <t>La Unión G11, 5507 Mendoza, Argentina -</t>
  </si>
  <si>
    <t>-32.9991306,-68.9152502</t>
  </si>
  <si>
    <t>HTZWDU</t>
  </si>
  <si>
    <t>Chicken Pops</t>
  </si>
  <si>
    <t>Dr. José Armando Catalano 1, A4408 Salta, Argentina -</t>
  </si>
  <si>
    <t>Universidad Católica</t>
  </si>
  <si>
    <t>-24.735004,-65.39341499999999</t>
  </si>
  <si>
    <t>HT4TG0</t>
  </si>
  <si>
    <t>Smart Meals .</t>
  </si>
  <si>
    <t>M58X+MR8 Belén de Escobar, Buenos Aires Province, Argentina -</t>
  </si>
  <si>
    <t>-34.3333375,-58.8004219</t>
  </si>
  <si>
    <t>HT6NJO</t>
  </si>
  <si>
    <t>Big Pizza Balvanera 8</t>
  </si>
  <si>
    <t>VIAMONTE 2007 -</t>
  </si>
  <si>
    <t>-34.600873,-58.3958303</t>
  </si>
  <si>
    <t>4M2FJO</t>
  </si>
  <si>
    <t>Pizzería Dia - Movistar Arena</t>
  </si>
  <si>
    <t>450 Humboldt -</t>
  </si>
  <si>
    <t>-34.5945093,-58.44800119999999</t>
  </si>
  <si>
    <t>HTWI68</t>
  </si>
  <si>
    <t>Lucciano's Paseo Houssay</t>
  </si>
  <si>
    <t>Av. Córdoba 2135 local 3, Ciudad Autónoma de Buenos Aires, Argentina -</t>
  </si>
  <si>
    <t>-34.599658,-58.39771</t>
  </si>
  <si>
    <t>HTPLCV</t>
  </si>
  <si>
    <t>Lomiton 1989</t>
  </si>
  <si>
    <t>Rawson 1338 a media cuadra de guemes, B7603 Mar del Plata, Argentina -</t>
  </si>
  <si>
    <t>Lomas de Stella Maris</t>
  </si>
  <si>
    <t>-38.0140374,-57.5408943</t>
  </si>
  <si>
    <t>HTP8EC</t>
  </si>
  <si>
    <t>Crujientes Milanesas.</t>
  </si>
  <si>
    <t>Saravi 2407 -</t>
  </si>
  <si>
    <t>-34.4549416,-58.83540790000001</t>
  </si>
  <si>
    <t>HTP8TW</t>
  </si>
  <si>
    <t>Memo - Florencio Varela.</t>
  </si>
  <si>
    <t>Av. Gral. José de San Martín 2632, B1847EYA Florencio Varela, Provincia de Buenos Aires -</t>
  </si>
  <si>
    <t>-34.8031981,-58.27808239999999</t>
  </si>
  <si>
    <t>HTRB1H</t>
  </si>
  <si>
    <t>Pizza Italia.</t>
  </si>
  <si>
    <t>Avenida Italia 1212 -</t>
  </si>
  <si>
    <t>General Rodríguez</t>
  </si>
  <si>
    <t>-34.5963059,-58.9472592</t>
  </si>
  <si>
    <t>HT6MIG</t>
  </si>
  <si>
    <t>Panaderia Tres Doux.</t>
  </si>
  <si>
    <t>Patagonia 491, B1609 Boulogne, Argentina -</t>
  </si>
  <si>
    <t>La Horqueta</t>
  </si>
  <si>
    <t>-34.4792969,-58.57892090000001</t>
  </si>
  <si>
    <t>HTR486</t>
  </si>
  <si>
    <t>Churrasik Park - Matheu</t>
  </si>
  <si>
    <t>Bancalari 14, B1627 Matheu, Argentina -</t>
  </si>
  <si>
    <t>Matheu</t>
  </si>
  <si>
    <t>-34.3853209,-58.8275517</t>
  </si>
  <si>
    <t>HTAF5Q</t>
  </si>
  <si>
    <t>Rapo Express - Nazca</t>
  </si>
  <si>
    <t>Av. Nazca 2154 -</t>
  </si>
  <si>
    <t>-34.6098728,-58.48283790000001</t>
  </si>
  <si>
    <t>HTAITU</t>
  </si>
  <si>
    <t>Modo Cocina</t>
  </si>
  <si>
    <t>Brasil 2664, B1825 Valentín Alsina, Argentina -</t>
  </si>
  <si>
    <t>Valentin Alsina</t>
  </si>
  <si>
    <t>-34.6704584,-58.4030435</t>
  </si>
  <si>
    <t>HTWYJZ</t>
  </si>
  <si>
    <t>Oregón</t>
  </si>
  <si>
    <t>Nicaragua 1507 entre Martin Coronado y la ferrere -</t>
  </si>
  <si>
    <t>-34.4342725,-58.91522579999999</t>
  </si>
  <si>
    <t>HTAF7J</t>
  </si>
  <si>
    <t>Rapo Express - Villa Del Parque</t>
  </si>
  <si>
    <t>Tinogasta 3164 -</t>
  </si>
  <si>
    <t>-34.60038249999999,-58.4953087</t>
  </si>
  <si>
    <t>HTAFMN</t>
  </si>
  <si>
    <t>Rapo Express - Flores</t>
  </si>
  <si>
    <t>Gral. José Gervasio Artigas 333 -</t>
  </si>
  <si>
    <t>-34.6264058,-58.4651629</t>
  </si>
  <si>
    <t>HTRBX6</t>
  </si>
  <si>
    <t>Sabores De Herencia</t>
  </si>
  <si>
    <t>Alberto Lartigau 2683, B1754 San Justo, Argentina -</t>
  </si>
  <si>
    <t>-34.6698015,-58.57518169999999</t>
  </si>
  <si>
    <t>HTPZWK</t>
  </si>
  <si>
    <t>Lalo´s</t>
  </si>
  <si>
    <t>Av. Goycoechea 436, X5105 Villa Allende, Argentina -</t>
  </si>
  <si>
    <t>-31.2963002,-64.29451879999999</t>
  </si>
  <si>
    <t>HTK6ED</t>
  </si>
  <si>
    <t>Abuela Ana</t>
  </si>
  <si>
    <t>184 Av. Colón -</t>
  </si>
  <si>
    <t>-38.72066573713176,-62.26922776627045</t>
  </si>
  <si>
    <t>HTP8ST</t>
  </si>
  <si>
    <t>Oliver´s Burger</t>
  </si>
  <si>
    <t>San Lorenzo 3330, B1826 Remedios de Escalada, Argentina -</t>
  </si>
  <si>
    <t>-34.7310252,-58.3836009</t>
  </si>
  <si>
    <t>HTACMI</t>
  </si>
  <si>
    <t>Sabores Urbanos 864</t>
  </si>
  <si>
    <t>Dr. Carlos Galli Mainini 148, B1853 Villa Vatteone, Argentina -</t>
  </si>
  <si>
    <t>Villa Vatteone</t>
  </si>
  <si>
    <t>-34.8185389,-58.27221040000001</t>
  </si>
  <si>
    <t>HTRTTH</t>
  </si>
  <si>
    <t>Panaderia Y Confitería San-ti.</t>
  </si>
  <si>
    <t>64 Cnel. Domínguez -</t>
  </si>
  <si>
    <t>-34.6788607,-58.50841800000001</t>
  </si>
  <si>
    <t>HT6R1L</t>
  </si>
  <si>
    <t>Top Race.</t>
  </si>
  <si>
    <t>E. Del Valle Iberlucea 2872 -</t>
  </si>
  <si>
    <t>-34.7051133,-58.3930632</t>
  </si>
  <si>
    <t>HTPL22</t>
  </si>
  <si>
    <t>Wow! Alcorta</t>
  </si>
  <si>
    <t>Av. Alcorta 2618, B1744 Moreno, Provincia de Buenos Aires -</t>
  </si>
  <si>
    <t>-34.6512884,-58.7880231</t>
  </si>
  <si>
    <t>HTRCOF</t>
  </si>
  <si>
    <t>Sr Empanadon</t>
  </si>
  <si>
    <t>Enfermera Reinalda Balancini Viuda de Rodríguez 4143, B1778 Gran Buenos Aires, Argentina -</t>
  </si>
  <si>
    <t>Ciudad Evita</t>
  </si>
  <si>
    <t>-34.7320259,-58.53303409999999</t>
  </si>
  <si>
    <t>HRR4MK</t>
  </si>
  <si>
    <t>Bless.</t>
  </si>
  <si>
    <t>Juan García Martínez 668, X5010 Córdoba, Argentina -</t>
  </si>
  <si>
    <t>Las Palmas anexo</t>
  </si>
  <si>
    <t>-31.4122112,-64.2413132</t>
  </si>
  <si>
    <t>HTRMBE</t>
  </si>
  <si>
    <t>Cocin-arte Chacras</t>
  </si>
  <si>
    <t>Viamonte 4496 -</t>
  </si>
  <si>
    <t>-32.9948599,-68.8876872</t>
  </si>
  <si>
    <t>HTPGCE</t>
  </si>
  <si>
    <t>Con Sabor 244</t>
  </si>
  <si>
    <t>C. 22 2269, B1900 Altos de San Lorenzo, Argentina -</t>
  </si>
  <si>
    <t>Altos de San Lorenzo</t>
  </si>
  <si>
    <t>-34.95011,-57.93658</t>
  </si>
  <si>
    <t>HTZL5T</t>
  </si>
  <si>
    <t>Los Amigos De Siempre - Pilar</t>
  </si>
  <si>
    <t>Los Manzanos 1000 Local de La entrada al complejo. Edificio Bureau, B1629 Pilar, Argentina -</t>
  </si>
  <si>
    <t>-34.4414267,-58.8655304</t>
  </si>
  <si>
    <t>HPGEVY</t>
  </si>
  <si>
    <t>Yeca Bodegon - Torcuato</t>
  </si>
  <si>
    <t>M.T. de Alvear 2470 -</t>
  </si>
  <si>
    <t>-34.4889659,-58.6223078</t>
  </si>
  <si>
    <t>4MFROS</t>
  </si>
  <si>
    <t>Beauty &amp; Care - PedidosYa Market Manuel Alberti Ii</t>
  </si>
  <si>
    <t>1245 Colectora Oeste Ramal Pilar -</t>
  </si>
  <si>
    <t>-34.4424533,-58.77641680000001</t>
  </si>
  <si>
    <t>HTZCPO</t>
  </si>
  <si>
    <t>Panaderia La Feliz</t>
  </si>
  <si>
    <t>Honduras 2256, X5152 Villa Carlos Paz, Argentina -</t>
  </si>
  <si>
    <t>-31.4503633,-64.50879739999999</t>
  </si>
  <si>
    <t>HTW0R3</t>
  </si>
  <si>
    <t>Central De Pizzas Y Empanadas San Fernando 2</t>
  </si>
  <si>
    <t>Constitución 279 -</t>
  </si>
  <si>
    <t>-34.4361307,-58.56304900000001</t>
  </si>
  <si>
    <t>HTRQ4W</t>
  </si>
  <si>
    <t>Chipa De Autor</t>
  </si>
  <si>
    <t>Güemes 4426, C1425 Buenos Aires, Argentina -</t>
  </si>
  <si>
    <t>-34.5826079,-58.422412</t>
  </si>
  <si>
    <t>HTGVTV</t>
  </si>
  <si>
    <t>Yeca Bodegon - Nordelta</t>
  </si>
  <si>
    <t>Pje. de las Ciencias 75 -</t>
  </si>
  <si>
    <t>Nordelta</t>
  </si>
  <si>
    <t>-34.4008898,-58.652738</t>
  </si>
  <si>
    <t>HRXV7X</t>
  </si>
  <si>
    <t>Bull! Cafe De Especialidad.</t>
  </si>
  <si>
    <t>Viel 368 -</t>
  </si>
  <si>
    <t>-34.6206243,-58.43255729999999</t>
  </si>
  <si>
    <t>HTPG24</t>
  </si>
  <si>
    <t>Helados Pablo Centro.</t>
  </si>
  <si>
    <t>2915 España -</t>
  </si>
  <si>
    <t>-34.8060505,-58.27671609999999</t>
  </si>
  <si>
    <t>HTPGWE</t>
  </si>
  <si>
    <t>Cantina Del Rey</t>
  </si>
  <si>
    <t>Alvarado 1251 Mar del PlatA -</t>
  </si>
  <si>
    <t>-38.01651409999999,-57.54171460000001</t>
  </si>
  <si>
    <t>HTAME3</t>
  </si>
  <si>
    <t>Cuchareame Sin Culpa</t>
  </si>
  <si>
    <t>Nicolás Avellaneda 487, B1804 Ezeiza, Provincia de Buenos Aires -</t>
  </si>
  <si>
    <t>-34.8517983,-58.52836639999999</t>
  </si>
  <si>
    <t>4M2MHO</t>
  </si>
  <si>
    <t>Todo Casero 87</t>
  </si>
  <si>
    <t>Roma 2024 -</t>
  </si>
  <si>
    <t>-34.4700778,-58.5480818</t>
  </si>
  <si>
    <t>HTAFVB</t>
  </si>
  <si>
    <t>Rapo Express - Caballito</t>
  </si>
  <si>
    <t>Del Barco Centenera 117 -</t>
  </si>
  <si>
    <t>-34.6210255,-58.4411589</t>
  </si>
  <si>
    <t>HTRH52</t>
  </si>
  <si>
    <t>Almendro Helados</t>
  </si>
  <si>
    <t>Falucho 5121, B7604BHC Mar del Plata, Provincia de Buenos Aires -</t>
  </si>
  <si>
    <t>Bernardino Rivadavia</t>
  </si>
  <si>
    <t>-37.9921632,-57.57691879999999</t>
  </si>
  <si>
    <t>HTR48K</t>
  </si>
  <si>
    <t>La Central De La Comida</t>
  </si>
  <si>
    <t>Ocaña 487, X5003 Córdoba, Argentina -</t>
  </si>
  <si>
    <t>Obrero</t>
  </si>
  <si>
    <t>-31.413854,-64.2119692</t>
  </si>
  <si>
    <t>HT6N56</t>
  </si>
  <si>
    <t>Hey Muzza Balvanera 8</t>
  </si>
  <si>
    <t>2007 Viamonte -</t>
  </si>
  <si>
    <t>4MMYTG</t>
  </si>
  <si>
    <t>Tu Arepa Pana</t>
  </si>
  <si>
    <t>Ayacucho 503, C1026AAC, Argentina -</t>
  </si>
  <si>
    <t>-34.6031209,-58.39544839999999</t>
  </si>
  <si>
    <t>HTRK8C</t>
  </si>
  <si>
    <t>Esenio (zona Norte).</t>
  </si>
  <si>
    <t>Avenida Alberdi  778 bis -</t>
  </si>
  <si>
    <t>Lisandro de la Torre</t>
  </si>
  <si>
    <t>-32.9182969,-60.682927</t>
  </si>
  <si>
    <t>HTKWAG</t>
  </si>
  <si>
    <t>Rogel</t>
  </si>
  <si>
    <t>Defensa 961, C1065 Buenos Aires, Argentina -</t>
  </si>
  <si>
    <t>San Telmo</t>
  </si>
  <si>
    <t>-34.619155,-58.37160970000001</t>
  </si>
  <si>
    <t>HTRSP5</t>
  </si>
  <si>
    <t>Don Miguel De La Pata</t>
  </si>
  <si>
    <t>Cramer 1171, B1876 Don Bosco, Argentina -</t>
  </si>
  <si>
    <t>-34.7013321,-58.2980423</t>
  </si>
  <si>
    <t>HTRME0</t>
  </si>
  <si>
    <t>El Nuevo Parador.</t>
  </si>
  <si>
    <t>3300 Av. Avellaneda -</t>
  </si>
  <si>
    <t>-34.4586315,-58.56797649999999</t>
  </si>
  <si>
    <t>HTAMZ8</t>
  </si>
  <si>
    <t>Don Antonio Pizzas Y Empanadas La Horqueta</t>
  </si>
  <si>
    <t>Uruguay 5190 -</t>
  </si>
  <si>
    <t>-34.4755234,-58.5747148</t>
  </si>
  <si>
    <t>HTR5ZP</t>
  </si>
  <si>
    <t>Ypf Full Azurduy</t>
  </si>
  <si>
    <t>Av. Cabildo 3501, C1429AAG Cdad. Autónoma de Buenos Aires -</t>
  </si>
  <si>
    <t>-34.550161,-58.4666575</t>
  </si>
  <si>
    <t>HTALU5</t>
  </si>
  <si>
    <t>Vernesa</t>
  </si>
  <si>
    <t>Francisco Siritto 218, B1832 Lomas de Zamora, Argentina -</t>
  </si>
  <si>
    <t>-34.7671113,-58.4335983</t>
  </si>
  <si>
    <t>HTA05L</t>
  </si>
  <si>
    <t>Lola Quintana</t>
  </si>
  <si>
    <t>Quintana 241, B7602 Mar del Plata, Argentina -</t>
  </si>
  <si>
    <t>-38.0271575,-57.53608829999999</t>
  </si>
  <si>
    <t>HTA283</t>
  </si>
  <si>
    <t>Ypf Full Tucuman Yerba Buena</t>
  </si>
  <si>
    <t>Av. Aconquija 1784, T4107 Yerba Buena, Tucumán, Argentina -</t>
  </si>
  <si>
    <t>-26.8134134,-65.2948114</t>
  </si>
  <si>
    <t>HTR5JJ</t>
  </si>
  <si>
    <t>Chocoart</t>
  </si>
  <si>
    <t>Av. Tte. Gral. Donato Álvarez  562 - timbre 4C</t>
  </si>
  <si>
    <t>-34.619277,-58.45713519999999</t>
  </si>
  <si>
    <t>HTRBRD</t>
  </si>
  <si>
    <t>El Sabroson 661</t>
  </si>
  <si>
    <t>Octavio Pinto 3243, X5009 Córdoba, Argentina -</t>
  </si>
  <si>
    <t>Villa Cabrera</t>
  </si>
  <si>
    <t>-31.3838854,-64.2219137</t>
  </si>
  <si>
    <t>HTZQX1</t>
  </si>
  <si>
    <t>Noah's Green Kitchen - Mar Del Plata Ii</t>
  </si>
  <si>
    <t>Av. Constitución 6185, B7600 Mar del Plata, Provincia de Buenos Aires, Argentina -</t>
  </si>
  <si>
    <t>-37.9593973,-57.5652211</t>
  </si>
  <si>
    <t>HTGLWG</t>
  </si>
  <si>
    <t>La Casita. 868</t>
  </si>
  <si>
    <t>Amenedo 260, B1846 Adrogué, Argentina -</t>
  </si>
  <si>
    <t>-34.7996662,-58.4048653</t>
  </si>
  <si>
    <t>HTWTNH</t>
  </si>
  <si>
    <t>El Vergel - Hiper Libertad Sabattini</t>
  </si>
  <si>
    <t>AVENIDA SABATTINI 3250 -</t>
  </si>
  <si>
    <t>Ferroviario Mitre</t>
  </si>
  <si>
    <t>-31.4341034,-64.1432217333</t>
  </si>
  <si>
    <t>HTR5UK</t>
  </si>
  <si>
    <t>Wow! Bella Vista.</t>
  </si>
  <si>
    <t>Moine 1882, B1661IGD Bella Vista, Provincia de Buenos Aires -</t>
  </si>
  <si>
    <t>-34.5655514,-58.6874844</t>
  </si>
  <si>
    <t>HTAOJS</t>
  </si>
  <si>
    <t>Pizzabruno</t>
  </si>
  <si>
    <t>R. Martínez 942, B1759 González Catán, Argentina -</t>
  </si>
  <si>
    <t>-34.7702409,-58.65342399999999</t>
  </si>
  <si>
    <t>HTAV80</t>
  </si>
  <si>
    <t>Ypf Full Rafaela Rio De Janeiro</t>
  </si>
  <si>
    <t>Avenida Santa Fe 2460 Y, RJ, S2300 Rafaela, Provincia de Santa Fe -</t>
  </si>
  <si>
    <t>-31.2575944,-61.4648221</t>
  </si>
  <si>
    <t>HTRSOG</t>
  </si>
  <si>
    <t>Tortas San Miguel</t>
  </si>
  <si>
    <t>Marcos Paz 2890, T4000 San Miguel de Tucumán, Argentina -</t>
  </si>
  <si>
    <t>-26.8141852,-65.2386085</t>
  </si>
  <si>
    <t>HTAOUG</t>
  </si>
  <si>
    <t>Palote Lp</t>
  </si>
  <si>
    <t>calle 43 Nro 836 -</t>
  </si>
  <si>
    <t>-34.9142937,-57.96099459999999</t>
  </si>
  <si>
    <t>HTRT1L</t>
  </si>
  <si>
    <t>Balestra Helados</t>
  </si>
  <si>
    <t>Cristo redentor A27 X46Q+HHM Luján de Cuyo, Mendoza Province, Argentina A27</t>
  </si>
  <si>
    <t>Ciudad Luján de Cuyo</t>
  </si>
  <si>
    <t>-33.0385328,-68.861578</t>
  </si>
  <si>
    <t>HTRFGX</t>
  </si>
  <si>
    <t>Listo El Pollo Córdoba</t>
  </si>
  <si>
    <t>Sta. Ana 3007 Santa Ana 3007, Esquina Vélez., X5003 Córdoba, Argentina -</t>
  </si>
  <si>
    <t>Alto Alberdi</t>
  </si>
  <si>
    <t>-31.4138885,-64.2248453</t>
  </si>
  <si>
    <t>HTRMZG</t>
  </si>
  <si>
    <t>Ypf Full Salta</t>
  </si>
  <si>
    <t>Avenida del Bicentenario de la Batalla de Salta 702, Salta, Argentina -</t>
  </si>
  <si>
    <t>-24.7802677,-65.40304075</t>
  </si>
  <si>
    <t>HT38GM</t>
  </si>
  <si>
    <t>La Terraza Focacceria</t>
  </si>
  <si>
    <t>Andrade 2504 Terraza con luces, B1879 Quilmes, Argentina -</t>
  </si>
  <si>
    <t>-34.7533765,-58.2761185</t>
  </si>
  <si>
    <t>HTA6BG</t>
  </si>
  <si>
    <t>Lo D' Uru</t>
  </si>
  <si>
    <t>Av. Almte. Brown 3658, B1834 Temperley, Argentina -</t>
  </si>
  <si>
    <t>-34.7789576,-58.3906721</t>
  </si>
  <si>
    <t>HTALS8</t>
  </si>
  <si>
    <t>Sándwicheria Que Milanga</t>
  </si>
  <si>
    <t>Vicente López 3288, A4400 Salta, Argentina -</t>
  </si>
  <si>
    <t>La Madrid</t>
  </si>
  <si>
    <t>-24.7490095,-65.4076331</t>
  </si>
  <si>
    <t>HTWY2N</t>
  </si>
  <si>
    <t>La Pizza Es Bella 517</t>
  </si>
  <si>
    <t>Las Heras 1946 -</t>
  </si>
  <si>
    <t>-31.25883445,-61.4727021463</t>
  </si>
  <si>
    <t>HTAO54</t>
  </si>
  <si>
    <t>Ramallo Club Green Plaza.</t>
  </si>
  <si>
    <t>Comercial Green Plaza, Av. Constitución 1210 (Ruta 26 y, Palmers Centro, B1620 Ingeniero Maschwitz, Provincia de Buenos Aires -</t>
  </si>
  <si>
    <t>-34.3895077,-58.7652284</t>
  </si>
  <si>
    <t>HTW9YX</t>
  </si>
  <si>
    <t>Oasis Shawarma.</t>
  </si>
  <si>
    <t>1543 Carlos Calvo -</t>
  </si>
  <si>
    <t>-34.4513423,-58.8029482</t>
  </si>
  <si>
    <t>HTPG6C</t>
  </si>
  <si>
    <t>Bodegón De Milanesas.</t>
  </si>
  <si>
    <t>307 Lima -</t>
  </si>
  <si>
    <t>-34.6120633,-58.38194960000001</t>
  </si>
  <si>
    <t>HTW9JV</t>
  </si>
  <si>
    <t>Super Burger Bros.</t>
  </si>
  <si>
    <t>HTAZQ8</t>
  </si>
  <si>
    <t>El Cielo De Juan</t>
  </si>
  <si>
    <t>Maestra Rocha Montarce 1548 Entre Chanas y Guaraní, B1684 El Palomar, Argentina -</t>
  </si>
  <si>
    <t>-34.62794,-58.59391</t>
  </si>
  <si>
    <t>HTA2R8</t>
  </si>
  <si>
    <t>Brownie Planet - Recoleta.</t>
  </si>
  <si>
    <t>Marcelo T de Alvear 1815 -</t>
  </si>
  <si>
    <t>-34.59714719999999,-58.3936386</t>
  </si>
  <si>
    <t>HTPGQ3</t>
  </si>
  <si>
    <t>La Pulpería De Don Martín</t>
  </si>
  <si>
    <t>alem 1253 -</t>
  </si>
  <si>
    <t>-32.9539003,-60.6295468</t>
  </si>
  <si>
    <t>HTRBF1</t>
  </si>
  <si>
    <t>Las D´licias De Elena</t>
  </si>
  <si>
    <t>Pje. Emilio Castelar 894, Buenos Aires, Argentina -</t>
  </si>
  <si>
    <t>-34.6290663,-58.4981325</t>
  </si>
  <si>
    <t>HTDVVY</t>
  </si>
  <si>
    <t>Mivo Taste</t>
  </si>
  <si>
    <t>calle 42 n973 entre 14 y 15 -</t>
  </si>
  <si>
    <t>-34.9158324,-57.96542160000001</t>
  </si>
  <si>
    <t>HTGT01</t>
  </si>
  <si>
    <t>Cremona Coffee</t>
  </si>
  <si>
    <t>Av. Humberto Primo 1152 -</t>
  </si>
  <si>
    <t>-34.5688119,-59.1115766</t>
  </si>
  <si>
    <t>HTA1E8</t>
  </si>
  <si>
    <t>Mevak -</t>
  </si>
  <si>
    <t>Ildefonso de las Muñecas 368 5D, T4000 San Miguel de Tucumán, Argentina -</t>
  </si>
  <si>
    <t>-26.82592635567819,-65.20493192499237</t>
  </si>
  <si>
    <t>HTWQB6</t>
  </si>
  <si>
    <t>Sweet Churrros.</t>
  </si>
  <si>
    <t>Dr. Alejandro Korn 765, B1630 Pilar, Argentina -</t>
  </si>
  <si>
    <t>-34.4402932,-58.9043683</t>
  </si>
  <si>
    <t>HTAFIH</t>
  </si>
  <si>
    <t>Ramallo Club Villanueva.</t>
  </si>
  <si>
    <t>Ituzaingó 1231, B1623CGI Gran Buenos Aires, Provincia de Buenos Aires -</t>
  </si>
  <si>
    <t>-34.3869512,-58.7376088</t>
  </si>
  <si>
    <t>HTL2IR</t>
  </si>
  <si>
    <t>Pizzería Maruca</t>
  </si>
  <si>
    <t>Remedios de Escalada 3611, B1613 Los Polvorines, Argentina -</t>
  </si>
  <si>
    <t>-34.498311,-58.6951908</t>
  </si>
  <si>
    <t>HTWQYA</t>
  </si>
  <si>
    <t>Lado B Restaurante</t>
  </si>
  <si>
    <t>Potosí 1097, X5000 Córdoba, Argentina -</t>
  </si>
  <si>
    <t>General Pueyrredón</t>
  </si>
  <si>
    <t>-31.4018497,-64.173147</t>
  </si>
  <si>
    <t>HTRSN3</t>
  </si>
  <si>
    <t>Salute Garibaldi Chacabuco</t>
  </si>
  <si>
    <t>Av. Directorio 902 Justo en la esquina, C1424 Buenos Aires, Argentina -</t>
  </si>
  <si>
    <t>Parque Chacabuco</t>
  </si>
  <si>
    <t>-34.6290295,-58.4397104</t>
  </si>
  <si>
    <t>HTPEWU</t>
  </si>
  <si>
    <t>Los Sorrentinos Del Tucu</t>
  </si>
  <si>
    <t>Av. Dr. Honorio Pueyrredón 471, C1405 Buenos Aires, Argentina -</t>
  </si>
  <si>
    <t>-34.6141587,-58.4407804</t>
  </si>
  <si>
    <t>HT65VJ</t>
  </si>
  <si>
    <t>Zauys</t>
  </si>
  <si>
    <t>C. 9 937, B1900 La Plata, Argentina -</t>
  </si>
  <si>
    <t>-34.9169723,-57.95164929999999</t>
  </si>
  <si>
    <t>HTRTJ7</t>
  </si>
  <si>
    <t>Bite Me Cookies.</t>
  </si>
  <si>
    <t>Salvador María del Carril 771, B1712 Castelar, Argentina -</t>
  </si>
  <si>
    <t>-34.6343013,-58.6268081</t>
  </si>
  <si>
    <t>HTRFZZ</t>
  </si>
  <si>
    <t>La Parrilla Berazategui 707</t>
  </si>
  <si>
    <t>Av. Valentín Vergara 2120, B1884 Berazategui, Argentina -</t>
  </si>
  <si>
    <t>-34.7798102,-58.22516460000001</t>
  </si>
  <si>
    <t>HTR599</t>
  </si>
  <si>
    <t>By Papas Zarate</t>
  </si>
  <si>
    <t>730 Belgrano -</t>
  </si>
  <si>
    <t>Zárate</t>
  </si>
  <si>
    <t>-34.0961976,-59.02361759999999</t>
  </si>
  <si>
    <t>HT60XF</t>
  </si>
  <si>
    <t>La Cuadra Villa Elvira</t>
  </si>
  <si>
    <t>C. 75 14, B1914 Villa Elvira, Argentina -</t>
  </si>
  <si>
    <t>Villa Elvira</t>
  </si>
  <si>
    <t>-34.9225088,-57.9127261</t>
  </si>
  <si>
    <t>HTKQUA</t>
  </si>
  <si>
    <t>Bagels &amp; Bagels Tom.</t>
  </si>
  <si>
    <t>Ramal Pilar -</t>
  </si>
  <si>
    <t>-34.4518326,-58.7260478</t>
  </si>
  <si>
    <t>HTK944</t>
  </si>
  <si>
    <t>Unpuema</t>
  </si>
  <si>
    <t>Alsina  875</t>
  </si>
  <si>
    <t>-24.7798757,-65.41372059999999</t>
  </si>
  <si>
    <t>HTW0DN</t>
  </si>
  <si>
    <t>Taquitos Almafuerte</t>
  </si>
  <si>
    <t>Almafuerte 129, B1888 Florencio Varela, Argentina -</t>
  </si>
  <si>
    <t>-34.800443,-58.27619989999999</t>
  </si>
  <si>
    <t>HTKQNH</t>
  </si>
  <si>
    <t>Burger Quirno.</t>
  </si>
  <si>
    <t>Quirno Costa 2914 -</t>
  </si>
  <si>
    <t>-34.4485973,-58.5720821</t>
  </si>
  <si>
    <t>HTRRCG</t>
  </si>
  <si>
    <t>Veneranda</t>
  </si>
  <si>
    <t>Gaboto 3475, B7603 Mar del Plata, Argentina -</t>
  </si>
  <si>
    <t>Puerto</t>
  </si>
  <si>
    <t>-38.0404520785,-57.54618315</t>
  </si>
  <si>
    <t>HTRK6K</t>
  </si>
  <si>
    <t>Ronda  Bar Y Café</t>
  </si>
  <si>
    <t>Lobo de la Vega 500, 4107 Yerba Buena, Argentina -</t>
  </si>
  <si>
    <t>-26.807027,-65.2941203</t>
  </si>
  <si>
    <t>HTRSBL</t>
  </si>
  <si>
    <t>Mr Tasty - Salta Kalú</t>
  </si>
  <si>
    <t>Urquiza 626, A4400 Salta, Argentina -</t>
  </si>
  <si>
    <t>-24.7922527,-65.4115727</t>
  </si>
  <si>
    <t>HTRPD8</t>
  </si>
  <si>
    <t>Pancita Burger's</t>
  </si>
  <si>
    <t>Miguel Cané 4826, B1646 Virreyes, Argentina -</t>
  </si>
  <si>
    <t>-34.4651842,-58.5858445</t>
  </si>
  <si>
    <t>HTAC7E</t>
  </si>
  <si>
    <t>Tradición Sanguchera By Faria 183</t>
  </si>
  <si>
    <t>C. 28 415, B1902 City Bell, Argentina -</t>
  </si>
  <si>
    <t>-34.8870258,-58.05756479999999</t>
  </si>
  <si>
    <t>HTRRYI</t>
  </si>
  <si>
    <t>Ypf Full Aca Caballito</t>
  </si>
  <si>
    <t>Av. Gaona 1204, C1416 Cdad. Autónoma de Buenos Aires, Argentina -</t>
  </si>
  <si>
    <t>-34.6080481,-58.44685469999999</t>
  </si>
  <si>
    <t>HTWOWI</t>
  </si>
  <si>
    <t>Unico Pancheria</t>
  </si>
  <si>
    <t>Caseros 342, B1608 Troncos del Talar, Argentina -</t>
  </si>
  <si>
    <t>Los Troncos del Talar</t>
  </si>
  <si>
    <t>-34.4529808,-58.6051756</t>
  </si>
  <si>
    <t>HTRN8X</t>
  </si>
  <si>
    <t>Santorito</t>
  </si>
  <si>
    <t>Sebastián Gaboto 3525 Portón Negro, B1826 Remedios de Escalada, Argentina -</t>
  </si>
  <si>
    <t>-34.7221062,-58.40674739999999</t>
  </si>
  <si>
    <t>HTRS35</t>
  </si>
  <si>
    <t>Mila &amp; Go - Merlo -</t>
  </si>
  <si>
    <t>Av. del Libertador 402, B1722 Merlo, Provincia de Buenos Aires -</t>
  </si>
  <si>
    <t>-34.6699819,-58.7253521</t>
  </si>
  <si>
    <t>HTKIPE</t>
  </si>
  <si>
    <t>La Cocina De Liz - Mar Del Plata</t>
  </si>
  <si>
    <t>Bolívar 2350Piso:10 Dpto:1 BUENOS AIRES, B7600, Mar del Plata, Argentina -</t>
  </si>
  <si>
    <t>-38.0039214,-57.54697</t>
  </si>
  <si>
    <t>HPQT46</t>
  </si>
  <si>
    <t>Cuartucho Burger</t>
  </si>
  <si>
    <t>san lorenzo 873 san josé guaymallen -</t>
  </si>
  <si>
    <t>-32.8918559,-68.8008603</t>
  </si>
  <si>
    <t>HTR43D</t>
  </si>
  <si>
    <t>Ypf Full Melo</t>
  </si>
  <si>
    <t>Av. del Libertador 901, B1638CIC Vicente López, Provincia de Buenos Aires -</t>
  </si>
  <si>
    <t>-34.5254631,-58.4718561</t>
  </si>
  <si>
    <t>HTRTI2</t>
  </si>
  <si>
    <t>Wilsonfood</t>
  </si>
  <si>
    <t>Túpac Amaru 4405, B1663 San Miguel, Argentina -</t>
  </si>
  <si>
    <t>-34.562788,-58.7453456</t>
  </si>
  <si>
    <t>HTRRUH</t>
  </si>
  <si>
    <t>Panadería Y Confitería La Pereira</t>
  </si>
  <si>
    <t>Pereyra 1388 -</t>
  </si>
  <si>
    <t>Villa Centenario</t>
  </si>
  <si>
    <t>-34.7405603,-58.42426400000001</t>
  </si>
  <si>
    <t>HTRCFW</t>
  </si>
  <si>
    <t>Franui - Villa Urquiza</t>
  </si>
  <si>
    <t>Bucarelli 2151, Villa Urquiza, Ciudad Autónoma de Buenos Aires, Argentina -</t>
  </si>
  <si>
    <t>-34.5777764,-58.486225</t>
  </si>
  <si>
    <t>HTAUSZ</t>
  </si>
  <si>
    <t>Blending</t>
  </si>
  <si>
    <t>Av. Olivera 179, C1407 Buenos Aires, Argentina -</t>
  </si>
  <si>
    <t>-34.6374758,-58.4873843</t>
  </si>
  <si>
    <t>HTRTU9</t>
  </si>
  <si>
    <t>Shawarma Ghali Caballito</t>
  </si>
  <si>
    <t>C1406CQI, Puán 483, C1406 Cdad. Autónoma de Buenos Aires -</t>
  </si>
  <si>
    <t>-34.6282326,-58.446646</t>
  </si>
  <si>
    <t>HTZ705</t>
  </si>
  <si>
    <t>Naguini</t>
  </si>
  <si>
    <t>La Golondrina 2961, San José, Lomas de Zamora.
Referencia: Frente a la comisaría. -</t>
  </si>
  <si>
    <t>San José Oeste</t>
  </si>
  <si>
    <t>-34.7651631,-58.35918799999999</t>
  </si>
  <si>
    <t>HTWQV4</t>
  </si>
  <si>
    <t>La Bendita Burger</t>
  </si>
  <si>
    <t>Cjal. Miguel Ramella 2620</t>
  </si>
  <si>
    <t>-34.6786635,-58.61777410000001</t>
  </si>
  <si>
    <t>HTRRDO</t>
  </si>
  <si>
    <t>Franui - Viamonte</t>
  </si>
  <si>
    <t>Viamonte 1617, C1019 Cdad. Autónoma de Buenos Aires, Ciudad Autónoma de Buenos Aires, Argentina -</t>
  </si>
  <si>
    <t>-34.6006319,-58.3901198</t>
  </si>
  <si>
    <t>HTRXQH</t>
  </si>
  <si>
    <t>Boule Pasteleria Boutique</t>
  </si>
  <si>
    <t>Rafael Altamira 1749, B1847 Rafael Calzada, Argentina -</t>
  </si>
  <si>
    <t>Rafael Calzada</t>
  </si>
  <si>
    <t>-34.7947373,-58.35779729999999</t>
  </si>
  <si>
    <t>4M2WQY</t>
  </si>
  <si>
    <t>Bigmila Escobar</t>
  </si>
  <si>
    <t>761 Belgrano -</t>
  </si>
  <si>
    <t>-34.3439162,-58.7944745</t>
  </si>
  <si>
    <t>HTACDM</t>
  </si>
  <si>
    <t>Manos Criollas 251</t>
  </si>
  <si>
    <t>Junín 389, C1026 Buenos Aires, Argentina -</t>
  </si>
  <si>
    <t>-34.604766,-58.396672</t>
  </si>
  <si>
    <t>HTRO2R</t>
  </si>
  <si>
    <t>Chori Star - San Justo</t>
  </si>
  <si>
    <t>Av. Brig. Gral. Juan Manuel de Rosas 3910, B1754 San Justo, Provincia de Buenos Aires -</t>
  </si>
  <si>
    <t>-34.68503580000001,-58.5570604</t>
  </si>
  <si>
    <t>HTRX94</t>
  </si>
  <si>
    <t>Dulce Amor - Rosario</t>
  </si>
  <si>
    <t>Av. Eva Perón 6475 Local al frente, S2000 Rosario, Argentina -</t>
  </si>
  <si>
    <t>-32.9336583,-60.71023309999999</t>
  </si>
  <si>
    <t>4M2WQO</t>
  </si>
  <si>
    <t>Salad Salad  Escobar</t>
  </si>
  <si>
    <t>HTA0VE</t>
  </si>
  <si>
    <t>Mas Que Migas</t>
  </si>
  <si>
    <t>Barrio El Huaico - Mza 475 E , Casa 1
Referencia: Calle O - Casa 1, Esquina Calle 10 -</t>
  </si>
  <si>
    <t>-24.7213946,-65.4129732</t>
  </si>
  <si>
    <t>HTAJ1H</t>
  </si>
  <si>
    <t>Bruma Resto-bar</t>
  </si>
  <si>
    <t>165 Roque Sáenz Peña -</t>
  </si>
  <si>
    <t>Bernal</t>
  </si>
  <si>
    <t>-34.706339,-58.27727169999999</t>
  </si>
  <si>
    <t>HTAU5Q</t>
  </si>
  <si>
    <t>A Matar O Morir - Bernal</t>
  </si>
  <si>
    <t>Lebensohn 189, B1876 Bernal, Argentina -</t>
  </si>
  <si>
    <t>-34.7099884,-58.2701943</t>
  </si>
  <si>
    <t>HTZPQJ</t>
  </si>
  <si>
    <t>Altocarrofood</t>
  </si>
  <si>
    <t>Paseo gastronómico las colonias, Gral. Pedro Ferre y Francisco de Paula Almeyra - ALTOCARRO FOOD. Remedios de Escalada, Argentina -</t>
  </si>
  <si>
    <t>-34.71809713189573,-58.38978180311051</t>
  </si>
  <si>
    <t>HTRTF2</t>
  </si>
  <si>
    <t>Flymorfi Adrogue</t>
  </si>
  <si>
    <t>Esteban Adrogué 1017, B1846FHC Adrogué, Provincia de Buenos Aires, Argentina -</t>
  </si>
  <si>
    <t>-34.798246,-58.3928346</t>
  </si>
  <si>
    <t>HTKQJ7</t>
  </si>
  <si>
    <t>Tanti 109</t>
  </si>
  <si>
    <t>C. Cantilo 171, B1896 City Bell, Argentina -</t>
  </si>
  <si>
    <t>-34.8675796,-58.04363900000001</t>
  </si>
  <si>
    <t>HTA1ZP</t>
  </si>
  <si>
    <t>Ypf Full Moreno</t>
  </si>
  <si>
    <t>DIAGONAL NORTE &amp; ACCESO OESTE, Moreno -</t>
  </si>
  <si>
    <t>-34.633055,-58.7916933</t>
  </si>
  <si>
    <t>HP253U</t>
  </si>
  <si>
    <t>McDonald's Soleil</t>
  </si>
  <si>
    <t>Soleil Premium Outlet, Bernardo de Irigoyen 2647, B1609 San Isidro, Provincia de Buenos Aires -</t>
  </si>
  <si>
    <t>-34.4914039,-58.5915152</t>
  </si>
  <si>
    <t>HTRT8A</t>
  </si>
  <si>
    <t>Lo De Maco</t>
  </si>
  <si>
    <t>Los Fresnos 164, B1628 Escobar, Argentina -</t>
  </si>
  <si>
    <t>-34.3295305,-58.83906049999999</t>
  </si>
  <si>
    <t>HTR7R4</t>
  </si>
  <si>
    <t>La Cubaniteria</t>
  </si>
  <si>
    <t>C. 24 1562, B1904 La Plata, Argentina -</t>
  </si>
  <si>
    <t>-34.9403081,-57.9541201</t>
  </si>
  <si>
    <t>HTA1UC</t>
  </si>
  <si>
    <t>Monty's Pizzeria  Escobar</t>
  </si>
  <si>
    <t>4M2WQC</t>
  </si>
  <si>
    <t>Super Wraps Escobar</t>
  </si>
  <si>
    <t>HTAB3H</t>
  </si>
  <si>
    <t>Panaderia Y Confiteria Chocolate</t>
  </si>
  <si>
    <t>Avenida Santa Fe 328 -</t>
  </si>
  <si>
    <t>-34.7538013,-58.4207017</t>
  </si>
  <si>
    <t>HTRRU2</t>
  </si>
  <si>
    <t>Naco - Ar</t>
  </si>
  <si>
    <t>Bogotá 2036, B1631 Villa Rosa, Argentina -</t>
  </si>
  <si>
    <t>-34.4265804,-58.9006059</t>
  </si>
  <si>
    <t>HTRF6R</t>
  </si>
  <si>
    <t>Pastissima - Mar Del Plata</t>
  </si>
  <si>
    <t>Olavarría 3165, B7600 Mar Del Plata, Argentina -</t>
  </si>
  <si>
    <t>-38.0171981,-57.5445483</t>
  </si>
  <si>
    <t>HTAMW7</t>
  </si>
  <si>
    <t>Pizza Y Precio</t>
  </si>
  <si>
    <t>Diagonal 78 Leandro N. Alem 3454, B1651 Villa San Andrés, Argentina -</t>
  </si>
  <si>
    <t>-34.5633391124,-58.5499417</t>
  </si>
  <si>
    <t>HTA2CZ</t>
  </si>
  <si>
    <t>La Bilardo</t>
  </si>
  <si>
    <t>Av. Pte. J. D. Perón 4061, B1665 José C. Paz, Provincia de Buenos Aires -</t>
  </si>
  <si>
    <t>-34.5240319,-58.73729419999999</t>
  </si>
  <si>
    <t>HTLU81</t>
  </si>
  <si>
    <t>Sabores Isma</t>
  </si>
  <si>
    <t>Cañadita Alegre 649, M5521 Mendoza, Argentina -</t>
  </si>
  <si>
    <t>-32.9036547,-68.8144014</t>
  </si>
  <si>
    <t>HTZ2GV</t>
  </si>
  <si>
    <t>Mr Tasty - Monserrat</t>
  </si>
  <si>
    <t>Avenida Entre Ríos 654, Ciudad Autónoma de Buenos Aires, Argentina -</t>
  </si>
  <si>
    <t>-34.616133,-58.3915881</t>
  </si>
  <si>
    <t>HTABXH</t>
  </si>
  <si>
    <t>Pizzeria Napoles Benavidez</t>
  </si>
  <si>
    <t>5699 Av. Gral. Juan Domingo Perón -</t>
  </si>
  <si>
    <t>-34.4232418,-58.69381869999999</t>
  </si>
  <si>
    <t>HTACKQ</t>
  </si>
  <si>
    <t>La Fabrica San Miguel De Tucumán</t>
  </si>
  <si>
    <t>Pje. Campo de las Carreras 1580, 4000 San Miguel de Tucumán, Argentina -</t>
  </si>
  <si>
    <t>-26.8379313,-65.224008</t>
  </si>
  <si>
    <t>HTR5QL</t>
  </si>
  <si>
    <t>Ave Fénix - Tartas</t>
  </si>
  <si>
    <t>Lavalle 115, B1648 Tigre, Argentina -</t>
  </si>
  <si>
    <t>-34.4170734,-58.58000130000001</t>
  </si>
  <si>
    <t>HTRVIX</t>
  </si>
  <si>
    <t>Las Tejas Verdes</t>
  </si>
  <si>
    <t>Gral. Guido 1996, B1744 Moreno, Argentina -</t>
  </si>
  <si>
    <t>-34.6460044,-58.77495750000001</t>
  </si>
  <si>
    <t>HTRMYS</t>
  </si>
  <si>
    <t>Pizzeria  Lo Del Tio</t>
  </si>
  <si>
    <t>Benito Lynch 1641, B7603 Mar del Plata, Argentina -</t>
  </si>
  <si>
    <t>Punta Mogotes</t>
  </si>
  <si>
    <t>-38.0719946,-57.55416469999999</t>
  </si>
  <si>
    <t>HTZ217</t>
  </si>
  <si>
    <t>En Boca De Todos .</t>
  </si>
  <si>
    <t>Cerro Arco 3500, M5539 El Challao, Mendoza -</t>
  </si>
  <si>
    <t>-32.8381721,-68.8732624</t>
  </si>
  <si>
    <t>HTWRU7</t>
  </si>
  <si>
    <t>Zucca Naturalmente Rico</t>
  </si>
  <si>
    <t>Malvinas Argentinas 42, C1406 Buenos Aires, Argentina -</t>
  </si>
  <si>
    <t>-34.6251464,-58.45161659999999</t>
  </si>
  <si>
    <t>HTAC1E</t>
  </si>
  <si>
    <t>Milas House</t>
  </si>
  <si>
    <t>Gral. José Tomás Guido 762, B1834 Temperley, Argentina -</t>
  </si>
  <si>
    <t>-34.7776072,-58.3982778</t>
  </si>
  <si>
    <t>HTRRC3</t>
  </si>
  <si>
    <t>Venecia Food</t>
  </si>
  <si>
    <t>Cnel. Ramón L. Falcón 5495, C1408DRA Cdad. Autónoma de Buenos Aires, Argentina -</t>
  </si>
  <si>
    <t>Villa Luro</t>
  </si>
  <si>
    <t>-34.6388853,-58.504116</t>
  </si>
  <si>
    <t>HTRFW6</t>
  </si>
  <si>
    <t>Voglio La Torta</t>
  </si>
  <si>
    <t>Sarmiento 1587 piso 8 dept. 3, C1042 Buenos Aires, Argentina -</t>
  </si>
  <si>
    <t>-34.6054816,-58.38907519999999</t>
  </si>
  <si>
    <t>HTK7PM</t>
  </si>
  <si>
    <t>Manitos De Manteca</t>
  </si>
  <si>
    <t>Urquiza 3952, S2002 Rosario, Argentina -</t>
  </si>
  <si>
    <t>-32.9358862,-60.6762162</t>
  </si>
  <si>
    <t>HTZXIL</t>
  </si>
  <si>
    <t>Bowery Craftbeer</t>
  </si>
  <si>
    <t>San Martín 875, 1870 Avellaneda, Argentina -</t>
  </si>
  <si>
    <t>-34.6640105,-58.3647038</t>
  </si>
  <si>
    <t>HTRKC2</t>
  </si>
  <si>
    <t>Burgers Yerba Buena</t>
  </si>
  <si>
    <t>La Pampa 1251, T4107 Tucumán, Argentina -</t>
  </si>
  <si>
    <t>-26.8245241,-65.2903184</t>
  </si>
  <si>
    <t>4M2THS</t>
  </si>
  <si>
    <t>Ibere Foods</t>
  </si>
  <si>
    <t>Hipólito Vieytes 786, B1716 Libertad, Argentina -</t>
  </si>
  <si>
    <t>Libertad</t>
  </si>
  <si>
    <t>-34.68737538118297,-58.68231584113923</t>
  </si>
  <si>
    <t>HTWFSR</t>
  </si>
  <si>
    <t>Dulcess Betty</t>
  </si>
  <si>
    <t>Las Azucenas 3147, B1664 Manuel Alberti, Argentina -</t>
  </si>
  <si>
    <t>-34.438359,-58.78860959999999</t>
  </si>
  <si>
    <t>HTA548</t>
  </si>
  <si>
    <t>Cultrum</t>
  </si>
  <si>
    <t>Av. S. Martín 5743, C1417 Buenos Aires, Argentina -</t>
  </si>
  <si>
    <t>Agronomía</t>
  </si>
  <si>
    <t>-34.5965225,-58.49750330000001</t>
  </si>
  <si>
    <t>HTAW2X</t>
  </si>
  <si>
    <t>Milanga  Alto Avellaneda.</t>
  </si>
  <si>
    <t>Av Guemes 897 – Local 225 -</t>
  </si>
  <si>
    <t>-34.6754885,-58.3671896</t>
  </si>
  <si>
    <t>HTACOK</t>
  </si>
  <si>
    <t>Molina - Saavedra 148</t>
  </si>
  <si>
    <t>3999 Zapiola -</t>
  </si>
  <si>
    <t>-34.5492007,-58.4766079</t>
  </si>
  <si>
    <t>HTA5D9</t>
  </si>
  <si>
    <t>Barilatte Helados - Valle Escondido</t>
  </si>
  <si>
    <t>Republica de china 1150 -</t>
  </si>
  <si>
    <t>Barrio el Balcón</t>
  </si>
  <si>
    <t>-31.37713313904391,-64.27642811586914</t>
  </si>
  <si>
    <t>HTZ6SZ</t>
  </si>
  <si>
    <t>Heladería Aloha - Aviador Pettirossi</t>
  </si>
  <si>
    <t>Avdor Silvio Pettirossi 2784 -</t>
  </si>
  <si>
    <t>Villa Aspacia</t>
  </si>
  <si>
    <t>-31.4408034,-64.2482749</t>
  </si>
  <si>
    <t>HTAZQY</t>
  </si>
  <si>
    <t>Sistruck</t>
  </si>
  <si>
    <t>Antonio Tomba 32, M5504 Mendoza, Argentina -</t>
  </si>
  <si>
    <t>-32.9245061,-68.8435782</t>
  </si>
  <si>
    <t>HTAM60</t>
  </si>
  <si>
    <t>La Diecisiete Burguer</t>
  </si>
  <si>
    <t>Gral. Mosconi 1321, B1613 Los Polvorines, Argentina -</t>
  </si>
  <si>
    <t>-34.5115746,-58.708067</t>
  </si>
  <si>
    <t>HTLTZJ</t>
  </si>
  <si>
    <t>Rollstar Caballito</t>
  </si>
  <si>
    <t>Felipe Vallese 802, C1405 Cdad. Autónoma de Buenos Aires -</t>
  </si>
  <si>
    <t>-34.6129626,-58.4448479</t>
  </si>
  <si>
    <t>HT81L5</t>
  </si>
  <si>
    <t>La Mesa Rebelde.</t>
  </si>
  <si>
    <t>Gregorio J. Machaín 1781 Frente vidriado, S2005 Rosario, Argentina -</t>
  </si>
  <si>
    <t>-32.898246,-60.69862289999999</t>
  </si>
  <si>
    <t>HTK1R7</t>
  </si>
  <si>
    <t>Sushi Guru</t>
  </si>
  <si>
    <t>Mariano y Luciano de la Vega 613, B1744 Moreno, Argentina -</t>
  </si>
  <si>
    <t>-34.65933,-58.78644</t>
  </si>
  <si>
    <t>HTZXLT</t>
  </si>
  <si>
    <t>De Local En Arroyito</t>
  </si>
  <si>
    <t>Pedro Tuella 1115 Esquina Avellaneda y Génova, S2000 Rosario, Argentina -</t>
  </si>
  <si>
    <t>-32.9150855,-60.67337140000001</t>
  </si>
  <si>
    <t>HTA9F7</t>
  </si>
  <si>
    <t>La Caserita Virreyes</t>
  </si>
  <si>
    <t>Quintana 3467, B1646 Virreyes, Argentina -</t>
  </si>
  <si>
    <t>-34.4600847,-58.5696804</t>
  </si>
  <si>
    <t>HTRF64</t>
  </si>
  <si>
    <t>Mr. Brownie &amp; Co.</t>
  </si>
  <si>
    <t>Álvarez Jonte 4527 Depto 1, C1417 Buenos Aires, Argentina -</t>
  </si>
  <si>
    <t>Monte Castro</t>
  </si>
  <si>
    <t>-34.6181168,-58.5028361</t>
  </si>
  <si>
    <t>HTRCCH</t>
  </si>
  <si>
    <t>El Rey De La Hamburguesa - La Plata</t>
  </si>
  <si>
    <t>C. 37 948, B1902AWL La Plata, Provincia de Buenos Aires -</t>
  </si>
  <si>
    <t>-34.9113248,-57.9702936</t>
  </si>
  <si>
    <t>HTAUB3</t>
  </si>
  <si>
    <t>Casa De Comidas 27</t>
  </si>
  <si>
    <t>Av. Francisco Beiró 5755, C1419 Buenos Aires, Argentina -</t>
  </si>
  <si>
    <t>-34.6175126,-58.5299401</t>
  </si>
  <si>
    <t>HTA4UK</t>
  </si>
  <si>
    <t>Massa Y Fuego</t>
  </si>
  <si>
    <t>González Balcarce 51, B1629 Pilar, Argentina -</t>
  </si>
  <si>
    <t>-34.4577857,-58.9440736</t>
  </si>
  <si>
    <t>HTBUL7</t>
  </si>
  <si>
    <t>Hey Muzza Tigre</t>
  </si>
  <si>
    <t>506 Albarellos -</t>
  </si>
  <si>
    <t>-34.425348,-58.5774845</t>
  </si>
  <si>
    <t>HTK7X4</t>
  </si>
  <si>
    <t>Ac Humo.</t>
  </si>
  <si>
    <t>España 656 -</t>
  </si>
  <si>
    <t>-34.4617204,-58.51482379999999</t>
  </si>
  <si>
    <t>HTKWIV</t>
  </si>
  <si>
    <t>Odiosa Pocima</t>
  </si>
  <si>
    <t>Almte. Brown 1505, M5505 Chacras de Coria, Argentina -</t>
  </si>
  <si>
    <t>-33.0050399,-68.8834349</t>
  </si>
  <si>
    <t>HTRLHV</t>
  </si>
  <si>
    <t>Smoked</t>
  </si>
  <si>
    <t>Miguel Soler 1459, B1629 Pilar, Argentina -</t>
  </si>
  <si>
    <t>-34.4602512,-58.8929375</t>
  </si>
  <si>
    <t>HTWU6V</t>
  </si>
  <si>
    <t>Papa Pollo Uriburu</t>
  </si>
  <si>
    <t>Coronel Arnold -</t>
  </si>
  <si>
    <t>-32.9902542,-60.6777323</t>
  </si>
  <si>
    <t>HT863C</t>
  </si>
  <si>
    <t>La Pizzeria Del Rey..</t>
  </si>
  <si>
    <t>C. 419 574, B1894 Villa Elisa, Argentina -</t>
  </si>
  <si>
    <t>Villa Elisa</t>
  </si>
  <si>
    <t>-34.8541217,-58.0796731</t>
  </si>
  <si>
    <t>4M7CMI</t>
  </si>
  <si>
    <t>Punto 33 - Godoy Cruz</t>
  </si>
  <si>
    <t>San Martin Sur 815 - Ciudad de Godoy Cruz Godoy Cruz entre Hualpa y Estrada -</t>
  </si>
  <si>
    <t>-32.93421733627164,-68.85027213404406</t>
  </si>
  <si>
    <t>HTAV2N</t>
  </si>
  <si>
    <t>Il Mondo -</t>
  </si>
  <si>
    <t>Dardo Rocha 1957, B1754 San Justo, Argentina -</t>
  </si>
  <si>
    <t>-34.6740951,-58.5572997</t>
  </si>
  <si>
    <t>HTAUF1</t>
  </si>
  <si>
    <t>Big Pizza Nuñez 4 -</t>
  </si>
  <si>
    <t>Av. Cabildo 4317, C1429ABB Cdad. Autónoma de Buenos Aires, Argentina -</t>
  </si>
  <si>
    <t>-34.5442512,-58.4715345</t>
  </si>
  <si>
    <t>HTR4EK</t>
  </si>
  <si>
    <t>Jofre Y Co -</t>
  </si>
  <si>
    <t>Florencio Varela 4489, B1754 San Justo, Argentina -</t>
  </si>
  <si>
    <t>-34.6877419,-58.58171220000001</t>
  </si>
  <si>
    <t>HTWQ8M</t>
  </si>
  <si>
    <t>Barra Enchilada</t>
  </si>
  <si>
    <t>2135 Av. Córdoba -</t>
  </si>
  <si>
    <t>HTRARM</t>
  </si>
  <si>
    <t>Food Truck Family 958</t>
  </si>
  <si>
    <t>Parque de la Familia Las Heras, Boulogne Sur Mer, Almte. Brown -</t>
  </si>
  <si>
    <t>-32.8470366,-68.8597613</t>
  </si>
  <si>
    <t>4M2L2T</t>
  </si>
  <si>
    <t>Rapanui Urquiza - Kiosco</t>
  </si>
  <si>
    <t>Bucarelli 2151, C1431DQO Cdad. Autónoma de Buenos Aires -</t>
  </si>
  <si>
    <t>HTZ7ML</t>
  </si>
  <si>
    <t>Sigfri Salta.</t>
  </si>
  <si>
    <t>30 España - Patio gastronomico - Usina Cultural -</t>
  </si>
  <si>
    <t>-24.7888987,-65.40307349999999</t>
  </si>
  <si>
    <t>HTAKVW</t>
  </si>
  <si>
    <t>Lo De Pancho -</t>
  </si>
  <si>
    <t>Av. Gral. Belgrano 420, B1619 Belén de Escobar, Argentina -</t>
  </si>
  <si>
    <t>-34.4207581,-58.73108790000001</t>
  </si>
  <si>
    <t>HTZLCH</t>
  </si>
  <si>
    <t>L´antipast</t>
  </si>
  <si>
    <t>Av. Gral. San Martín 701 -</t>
  </si>
  <si>
    <t>-34.64816649999999,-58.5570381</t>
  </si>
  <si>
    <t>HTAUCN</t>
  </si>
  <si>
    <t>Hey Muzza Nuñez 4 -</t>
  </si>
  <si>
    <t>HTRSDQ</t>
  </si>
  <si>
    <t>Munay Cafe - Moron</t>
  </si>
  <si>
    <t>25 de Mayo 136 galeria local 11, B1708 Morón, Argentina -</t>
  </si>
  <si>
    <t>-34.6497797,-58.6196005</t>
  </si>
  <si>
    <t>HTAKV0</t>
  </si>
  <si>
    <t>La Tienda Gonnet.</t>
  </si>
  <si>
    <t>Cam. Parque Centenario 2728, B1897 Gonnet, Argentina -</t>
  </si>
  <si>
    <t>-34.88330699999999,-58.0061414</t>
  </si>
  <si>
    <t>HTRWPE</t>
  </si>
  <si>
    <t>Pizzería Macerata.</t>
  </si>
  <si>
    <t>259 Av. Guillermo Hudson -</t>
  </si>
  <si>
    <t>-34.8132876,-58.2570312</t>
  </si>
  <si>
    <t>HT6JBT</t>
  </si>
  <si>
    <t>Basilico Cafe</t>
  </si>
  <si>
    <t>Mendoza 1667, B1623 Ingeniero Maschwitz, Argentina -</t>
  </si>
  <si>
    <t>-34.3802986,-58.7467956</t>
  </si>
  <si>
    <t>HPQLF9</t>
  </si>
  <si>
    <t>Mi Gusto- Las Cañitas</t>
  </si>
  <si>
    <t>Báez 227 -</t>
  </si>
  <si>
    <t>-34.5723877,-58.4302884</t>
  </si>
  <si>
    <t>HTAC9Z</t>
  </si>
  <si>
    <t>Brahms Pastelería</t>
  </si>
  <si>
    <t>Chubut 1996, M5504 Mendoza, Argentina -</t>
  </si>
  <si>
    <t>-32.9453524,-68.8563186</t>
  </si>
  <si>
    <t>4M2A63</t>
  </si>
  <si>
    <t>El Jevi Kioscos Tucuman</t>
  </si>
  <si>
    <t>Tucuman 2701 -</t>
  </si>
  <si>
    <t>-34.6017056,-58.4049191</t>
  </si>
  <si>
    <t>HTAY48</t>
  </si>
  <si>
    <t>Checho Pizzas.</t>
  </si>
  <si>
    <t>Av. América 1625, T4000 San Miguel de Tucumán, Argentina -</t>
  </si>
  <si>
    <t>Barrio Modelo</t>
  </si>
  <si>
    <t>-26.8030484,-65.2467101</t>
  </si>
  <si>
    <t>HTRS28</t>
  </si>
  <si>
    <t>Cassa Vasca  Cheesecake Vasco</t>
  </si>
  <si>
    <t>Paunero 550, B1662 Muñiz, Argentina -</t>
  </si>
  <si>
    <t>-34.548997,-58.7006352</t>
  </si>
  <si>
    <t>HTZCFH</t>
  </si>
  <si>
    <t>Lomiteria Popular - Ituzaingo</t>
  </si>
  <si>
    <t>Ituzaingó 612 -</t>
  </si>
  <si>
    <t>-31.4241654,-64.184854</t>
  </si>
  <si>
    <t>HTW0J7</t>
  </si>
  <si>
    <t>Jarif Cordoba.</t>
  </si>
  <si>
    <t>menendez pidal 3880 -</t>
  </si>
  <si>
    <t>Urca</t>
  </si>
  <si>
    <t>-31.3823973,-64.2373992</t>
  </si>
  <si>
    <t>HTAIY6</t>
  </si>
  <si>
    <t>Inari Snacks</t>
  </si>
  <si>
    <t>Calle Corrientes, 841 / Esquina Corrientes y Junín -</t>
  </si>
  <si>
    <t>-26.8216669,-65.2077262</t>
  </si>
  <si>
    <t>HTAIR2</t>
  </si>
  <si>
    <t>Que Rico Che</t>
  </si>
  <si>
    <t>Segurola 2975, C1417 Buenos Aires, Argentina -</t>
  </si>
  <si>
    <t>-34.6093802,-58.5100267</t>
  </si>
  <si>
    <t>HT6VP5</t>
  </si>
  <si>
    <t>Oegir Birra</t>
  </si>
  <si>
    <t>Valentín Alsina 888 Esquina Avellaneda, B2800 Zárate, Argentina -</t>
  </si>
  <si>
    <t>-34.0923099,-59.0287256</t>
  </si>
  <si>
    <t>HTAUH9</t>
  </si>
  <si>
    <t>Espelta - Lanus</t>
  </si>
  <si>
    <t>Pres. Domingo Faustino Sarmiento 1836, B1824 Buenos Aires, Provincia de Buenos Aires, Argentina -</t>
  </si>
  <si>
    <t>-34.70657300000001,-58.38892019999999</t>
  </si>
  <si>
    <t>HTRLPP</t>
  </si>
  <si>
    <t>Ada Recoleta</t>
  </si>
  <si>
    <t>Libertad 1198, C1012 Cdad. Autónoma de Buenos Aires -</t>
  </si>
  <si>
    <t>-34.5945249,-58.3845296</t>
  </si>
  <si>
    <t>HTRAZL</t>
  </si>
  <si>
    <t>Pizzeria Zuny.</t>
  </si>
  <si>
    <t>262 Colmenares -</t>
  </si>
  <si>
    <t>Tristán Suárez</t>
  </si>
  <si>
    <t>-34.9115894,-58.5543843</t>
  </si>
  <si>
    <t>HTA3NU</t>
  </si>
  <si>
    <t>Bulevar 691</t>
  </si>
  <si>
    <t>Ricardo Núñez 691, S2005 Rosario, Argentina -</t>
  </si>
  <si>
    <t>-32.8848161,-60.694988</t>
  </si>
  <si>
    <t>HTA29W</t>
  </si>
  <si>
    <t>Sushiso</t>
  </si>
  <si>
    <t>Av. Eva Duarte de Perón 1279 Frente a la Iglesia Lourdes, a media cuadra de la rotonda, B1615 Grand Bourg, Argentina -</t>
  </si>
  <si>
    <t>-34.4895625,-58.7267646</t>
  </si>
  <si>
    <t>HTRCNA</t>
  </si>
  <si>
    <t>Pizza Ya -  La Plata</t>
  </si>
  <si>
    <t>CTL, C 14 260, B1902 La Plata, Provincia de Buenos Aires -</t>
  </si>
  <si>
    <t>-34.9113847,-57.9702189</t>
  </si>
  <si>
    <t>HTRROX</t>
  </si>
  <si>
    <t>Click Food 854</t>
  </si>
  <si>
    <t>B CIRSUBDOZ 5 MA C7 GALAGURRI 1100 -</t>
  </si>
  <si>
    <t>-32.8534026,-68.8517914</t>
  </si>
  <si>
    <t>HTA6JY</t>
  </si>
  <si>
    <t>Saborcito Venezolano Alexcar</t>
  </si>
  <si>
    <t>Belgrano 829 ENTRE MORENO Y ENTRE RIOS EDIF BLANCO DPTO 2F, B1708 Morón, Argentina -</t>
  </si>
  <si>
    <t>-34.6573703,-58.6216176</t>
  </si>
  <si>
    <t>HTAC65</t>
  </si>
  <si>
    <t>El Asadito - Mendoza</t>
  </si>
  <si>
    <t>Avenida Juan B. Justo 512, M5500 Mendoza, Argentina -</t>
  </si>
  <si>
    <t>-32.8839403,-68.8563186</t>
  </si>
  <si>
    <t>HTRHV1</t>
  </si>
  <si>
    <t>Rústico Pastas Frescas Urca.</t>
  </si>
  <si>
    <t>Emilio Lamarca  4175</t>
  </si>
  <si>
    <t>Ampliación Urca</t>
  </si>
  <si>
    <t>-31.3818099,-64.24412149999999</t>
  </si>
  <si>
    <t>HTAC2J</t>
  </si>
  <si>
    <t>Chavos Parque Atlántica.</t>
  </si>
  <si>
    <t>La banda 4094 -</t>
  </si>
  <si>
    <t>Parque Atlántica</t>
  </si>
  <si>
    <t>-31.4561984,-64.21301989999999</t>
  </si>
  <si>
    <t>4MJEMV</t>
  </si>
  <si>
    <t>Flores Farmacia Smt</t>
  </si>
  <si>
    <t>Crisostomo Alvarez 1190, San Miguel de Tucuman CP 4000 -</t>
  </si>
  <si>
    <t>-26.8301472,-65.2156013</t>
  </si>
  <si>
    <t>HTRSKC</t>
  </si>
  <si>
    <t>Lo De Jacinto 760</t>
  </si>
  <si>
    <t>Alberdi 147, X5152 Villa Carlos Paz, Argentina -</t>
  </si>
  <si>
    <t>-31.4211563,-64.49513499999999</t>
  </si>
  <si>
    <t>HT898F</t>
  </si>
  <si>
    <t>Lucciano's San Fernando</t>
  </si>
  <si>
    <t>AV DEL LIBERTADOR 2608, San Fernando, Provincia de Buenos Aires, Argentina -</t>
  </si>
  <si>
    <t>Punta Chica</t>
  </si>
  <si>
    <t>-34.44738470000001,-58.5401034</t>
  </si>
  <si>
    <t>HT8B9R</t>
  </si>
  <si>
    <t>The Longface Faast Food.</t>
  </si>
  <si>
    <t>Suipacha 3989 -</t>
  </si>
  <si>
    <t>-32.9788733,-60.6735117</t>
  </si>
  <si>
    <t>4M2LSV</t>
  </si>
  <si>
    <t>Keques Coffe</t>
  </si>
  <si>
    <t>Pampa 1318 - dpto 7 -</t>
  </si>
  <si>
    <t>-34.4639822,-58.90209669999999</t>
  </si>
  <si>
    <t>HTA5E7</t>
  </si>
  <si>
    <t>Deleite Heladeria</t>
  </si>
  <si>
    <t>GADDINI 301 - BARRIO : BARRIO
TRISTAN SUAREZ 
1806-BUENOS AIRES -</t>
  </si>
  <si>
    <t>-34.8929275,-58.56431449999999</t>
  </si>
  <si>
    <t>HTWI7B</t>
  </si>
  <si>
    <t>Bolívar 296, C1066 Buenos Aires, Argentina -</t>
  </si>
  <si>
    <t>-34.6113016,-58.3733249</t>
  </si>
  <si>
    <t>HTL7C1</t>
  </si>
  <si>
    <t>El Padrino- Pancheria</t>
  </si>
  <si>
    <t>Alvear 164 Al lado de boliche la bamba, S2300 Rafaela, Argentina -</t>
  </si>
  <si>
    <t>-31.2515844,-61.48893839999999</t>
  </si>
  <si>
    <t>HTAQ1C</t>
  </si>
  <si>
    <t>De Migas Recoleta</t>
  </si>
  <si>
    <t>Av. Sta. Fe 2240, C1123 Cdad. Autónoma de Buenos Aires -</t>
  </si>
  <si>
    <t>-34.595497,-58.398956</t>
  </si>
  <si>
    <t>HTA645</t>
  </si>
  <si>
    <t>Gohana</t>
  </si>
  <si>
    <t>La Rioja 1014, X5000 Córdoba, Argentina -</t>
  </si>
  <si>
    <t>-31.4071586,-64.1960491</t>
  </si>
  <si>
    <t>HTZMLJ</t>
  </si>
  <si>
    <t>The Boys Burgers</t>
  </si>
  <si>
    <t>San Juan 2000, B1888 Florencio Varela, Argentina -</t>
  </si>
  <si>
    <t>-34.8040922,-58.2571863</t>
  </si>
  <si>
    <t>HP5GKM</t>
  </si>
  <si>
    <t>Luzu Heladeria</t>
  </si>
  <si>
    <t>América 1984, B1753 Villa Luzuriaga, Argentina -</t>
  </si>
  <si>
    <t>-34.6604096,-58.5749932</t>
  </si>
  <si>
    <t>HTHLW0</t>
  </si>
  <si>
    <t>Salú Bar Popular</t>
  </si>
  <si>
    <t>Jerónimo Cortés 868, X5001 Córdoba, Argentina -</t>
  </si>
  <si>
    <t>-31.3937099,-64.1872762</t>
  </si>
  <si>
    <t>HTRHU1</t>
  </si>
  <si>
    <t>La Fábrica Sándwiches - Nuñez.</t>
  </si>
  <si>
    <t>Vilela 2393 -</t>
  </si>
  <si>
    <t>-34.5456921,-58.4700694</t>
  </si>
  <si>
    <t>HTZQQ9</t>
  </si>
  <si>
    <t>Franc Monte Grande</t>
  </si>
  <si>
    <t>Gral. Rodríguez 359 -</t>
  </si>
  <si>
    <t>-34.8166815,-58.46472159999999</t>
  </si>
  <si>
    <t>HP2DNI</t>
  </si>
  <si>
    <t>McDonald's Helados Via</t>
  </si>
  <si>
    <t>La Pampa &amp; Avenida Virrey Vértiz, C1426 Cdad. Autónoma de Buenos Aires, Argentina -</t>
  </si>
  <si>
    <t>-34.56039704875462,-58.44629065805616</t>
  </si>
  <si>
    <t>HTAO2I</t>
  </si>
  <si>
    <t>Otaku - Recoleta</t>
  </si>
  <si>
    <t>Beruti 2748 -</t>
  </si>
  <si>
    <t>-34.5914717,-58.4038648</t>
  </si>
  <si>
    <t>HTKKGF</t>
  </si>
  <si>
    <t>Lka Good Food</t>
  </si>
  <si>
    <t>Av. Bandera de los Andes 9955, M5525 Mendoza, Argentina -</t>
  </si>
  <si>
    <t>Rodeo de la Cruz</t>
  </si>
  <si>
    <t>-32.9258824,-68.7368602</t>
  </si>
  <si>
    <t>HTR4RX</t>
  </si>
  <si>
    <t>Churros Peter</t>
  </si>
  <si>
    <t>San Lorenzo 612, B1662 San Miguel, Argentina -</t>
  </si>
  <si>
    <t>-34.5489422,-58.6926559</t>
  </si>
  <si>
    <t>HPJBDN</t>
  </si>
  <si>
    <t>Punto Fenix.</t>
  </si>
  <si>
    <t>Maestro Vidal 612, X5010 Córdoba, Argentina -</t>
  </si>
  <si>
    <t>Los Plátanos</t>
  </si>
  <si>
    <t>-31.4136419,-64.2259266</t>
  </si>
  <si>
    <t>HTA2N2</t>
  </si>
  <si>
    <t>Pizzas Lalo -</t>
  </si>
  <si>
    <t>Diego Cruz 2290, B1669 Del Viso, Argentina -</t>
  </si>
  <si>
    <t>-34.462048,-58.8031437</t>
  </si>
  <si>
    <t>HTHR1Z</t>
  </si>
  <si>
    <t>Pizza Pronto.</t>
  </si>
  <si>
    <t>Av. Mitre 788, B1880 Berazategui, Argentina -</t>
  </si>
  <si>
    <t>-34.7542433,-58.2113891</t>
  </si>
  <si>
    <t>HTRHVJ</t>
  </si>
  <si>
    <t>Grido Helados 5665 - City Bell Ii</t>
  </si>
  <si>
    <t>Cno. Gral. Belgrano 354, City Bell, Provincia de Buenos Aires, Argentina -</t>
  </si>
  <si>
    <t>-34.8817454,-58.0541067</t>
  </si>
  <si>
    <t>HTZ77Q</t>
  </si>
  <si>
    <t>El Club De La Milanesa Zarate</t>
  </si>
  <si>
    <t>Av. Rivadavia  942</t>
  </si>
  <si>
    <t>-34.09652852252898,-59.02644774610215</t>
  </si>
  <si>
    <t>HTABD5</t>
  </si>
  <si>
    <t>El Hornito Salteño</t>
  </si>
  <si>
    <t>Carabobo 2756, B1714 Ituzaingó, Argentina -</t>
  </si>
  <si>
    <t>-34.6626204,-58.69260379999999</t>
  </si>
  <si>
    <t>HTA0JI</t>
  </si>
  <si>
    <t>Focus Café</t>
  </si>
  <si>
    <t>C. 59 769, B1900 La Plata, Argentina -</t>
  </si>
  <si>
    <t>-34.9230535,-57.9464225</t>
  </si>
  <si>
    <t>HTWI81</t>
  </si>
  <si>
    <t>Deja Vu Café.</t>
  </si>
  <si>
    <t>La cordillera 3719 -</t>
  </si>
  <si>
    <t>-31.3646504,-64.22420439999999</t>
  </si>
  <si>
    <t>HTA581</t>
  </si>
  <si>
    <t>Debarrio Burger</t>
  </si>
  <si>
    <t>C. 117 383, B1884 Berazategui Oeste, Argentina -</t>
  </si>
  <si>
    <t>-34.7684158,-58.24859919999999</t>
  </si>
  <si>
    <t>HTWTX4</t>
  </si>
  <si>
    <t>Confiteria La Clasica.</t>
  </si>
  <si>
    <t>Humberto Primo 198 -</t>
  </si>
  <si>
    <t>-34.7243284,-58.2557803</t>
  </si>
  <si>
    <t>HTAIN0</t>
  </si>
  <si>
    <t>Dulces Momentos 517</t>
  </si>
  <si>
    <t>Cnel. Manuel Fraga 2345, B1663 San Miguel, Argentina -</t>
  </si>
  <si>
    <t>-34.5381907,-58.7237386</t>
  </si>
  <si>
    <t>HTRHYQ</t>
  </si>
  <si>
    <t>Heladeria Italia- Belgrano.</t>
  </si>
  <si>
    <t>Cdad. de la Paz 1894 -</t>
  </si>
  <si>
    <t>-34.5646039,-58.4559493</t>
  </si>
  <si>
    <t>HTZ7VV</t>
  </si>
  <si>
    <t>Sándwich Del Club Zarate</t>
  </si>
  <si>
    <t>Av. Rivadavia 942, B2800GLT Zárate, Provincia de Buenos Aires -</t>
  </si>
  <si>
    <t>-34.0964845,-59.026241</t>
  </si>
  <si>
    <t>HTRS2R</t>
  </si>
  <si>
    <t>Sahten</t>
  </si>
  <si>
    <t>Av. Colón 2240, X5003 Córdoba, Argentina -</t>
  </si>
  <si>
    <t>-31.4049903,-64.2119088</t>
  </si>
  <si>
    <t>HTZEFZ</t>
  </si>
  <si>
    <t>Catch -</t>
  </si>
  <si>
    <t>Av. Fernando Fader 4244, X5000 Córdoba, Argentina -</t>
  </si>
  <si>
    <t>Cerro de las Rosas</t>
  </si>
  <si>
    <t>-31.3713027,-64.2359048</t>
  </si>
  <si>
    <t>HTHLGL</t>
  </si>
  <si>
    <t>Dandy - Urquiza</t>
  </si>
  <si>
    <t>MENDOZA 5256
1431-CIUDAD AUTONOMA BUENOS AIRES -</t>
  </si>
  <si>
    <t>-34.5782208,-58.4853069</t>
  </si>
  <si>
    <t>HP2DRT</t>
  </si>
  <si>
    <t>McDonald's Café Via</t>
  </si>
  <si>
    <t>La Pampa &amp; Avenida Virrey Vértiz Belgrano, C1428EAA Ciudad Autónoma de Buenos Aires -</t>
  </si>
  <si>
    <t>-34.56067018439991,-58.44596499007416</t>
  </si>
  <si>
    <t>4MM5UH</t>
  </si>
  <si>
    <t>Open25hs! - 835</t>
  </si>
  <si>
    <t>Av. Congreso 2901, C1428BVS Cdad. Autónoma de Buenos Aires -</t>
  </si>
  <si>
    <t>Coghlan</t>
  </si>
  <si>
    <t>-34.55784395,-58.4673447</t>
  </si>
  <si>
    <t>HTZ712</t>
  </si>
  <si>
    <t>Holy Mila Zarate</t>
  </si>
  <si>
    <t>HTR48O</t>
  </si>
  <si>
    <t>La Esquina Del Sabor - Fv</t>
  </si>
  <si>
    <t>Cerro Famatina 2100, B1888 CPZ, Argentina -</t>
  </si>
  <si>
    <t>-34.7932795,-58.2707928</t>
  </si>
  <si>
    <t>HTALRQ</t>
  </si>
  <si>
    <t>Burger&amp;padel</t>
  </si>
  <si>
    <t>Av. Bandera de los Andes 7713 Padelboss, M5525 Guaymallén, Argentina -</t>
  </si>
  <si>
    <t>-32.9151733,-68.7546083</t>
  </si>
  <si>
    <t>HTRTLH</t>
  </si>
  <si>
    <t>A Su Gusto Quilmes.</t>
  </si>
  <si>
    <t>Urquiza 1499, B1879 Quilmes, Argentina -</t>
  </si>
  <si>
    <t>-34.7314033,-58.2703379</t>
  </si>
  <si>
    <t>HTWQ5W</t>
  </si>
  <si>
    <t>La Cocina De Juance 837</t>
  </si>
  <si>
    <t>Jerónimo Salguero 537, C1177 Buenos Aires, Argentina -</t>
  </si>
  <si>
    <t>-34.6045062,-58.41953699999999</t>
  </si>
  <si>
    <t>HT6YPQ</t>
  </si>
  <si>
    <t>Las Tortas De La Chola</t>
  </si>
  <si>
    <t>Castro barros 731 Entre Av independencia y Mexico, 1216 Buenos Aires, Argentina -</t>
  </si>
  <si>
    <t>-34.6036739,-58.3821215</t>
  </si>
  <si>
    <t>4MMBVN</t>
  </si>
  <si>
    <t>Pastas Franccesca - Pablo Nogues</t>
  </si>
  <si>
    <t>Juan Francisco Seguí 106, Pablo Nogués, Malvinas Argentinas, Buenos Aires. -</t>
  </si>
  <si>
    <t>Ingeniero Pablo Nogués</t>
  </si>
  <si>
    <t>-34.4937005,-58.70564319999999</t>
  </si>
  <si>
    <t>HT6W4R</t>
  </si>
  <si>
    <t>Betuchina</t>
  </si>
  <si>
    <t>Chimbora 1386 Entre: Mate Amargo y El Pórtico (casi esquina Mate Amargo) Barrio: Procrear Localidad: Villa Udaondo Partido: Ituzaingó Código Postal: 1713 -</t>
  </si>
  <si>
    <t>-34.62253930602011,-58.66443644093933</t>
  </si>
  <si>
    <t>HTA1JJ</t>
  </si>
  <si>
    <t>Golden Dog</t>
  </si>
  <si>
    <t>Ejército Argentino 1023 CASA PRIMER PISO REJA NEGRA., M5539 Mendoza, Argentina -</t>
  </si>
  <si>
    <t>El Zapallar</t>
  </si>
  <si>
    <t>-32.8572361,-68.82349409999999</t>
  </si>
  <si>
    <t>HTZGSW</t>
  </si>
  <si>
    <t>Sushi Pop Quilmes</t>
  </si>
  <si>
    <t>Moreno 695, Quilmes, Provincia de Buenos Aires, Argentina -</t>
  </si>
  <si>
    <t>-34.7240989,-58.2572699</t>
  </si>
  <si>
    <t>HTA91I</t>
  </si>
  <si>
    <t>Covara Coffee</t>
  </si>
  <si>
    <t>Beruti 4617, Buenos Aires, Argentina -</t>
  </si>
  <si>
    <t>-34.5774037,-58.4245248</t>
  </si>
  <si>
    <t>4M2D9X</t>
  </si>
  <si>
    <t>Punto 33  Villa Allende</t>
  </si>
  <si>
    <t>Río de Janeiro 191 -</t>
  </si>
  <si>
    <t>-31.2888188,-64.2930209</t>
  </si>
  <si>
    <t>4M7KLQ</t>
  </si>
  <si>
    <t>Rapanui Viamonte - Kiosco</t>
  </si>
  <si>
    <t>Viamonte 1617, C1019 Cdad. Autónoma de Buenos Aires -</t>
  </si>
  <si>
    <t>HTBOJO</t>
  </si>
  <si>
    <t>Sushi Global Company.</t>
  </si>
  <si>
    <t>Av del Libertador 1960 -</t>
  </si>
  <si>
    <t>-34.5144367,-58.47701610000001</t>
  </si>
  <si>
    <t>HTAOJ0</t>
  </si>
  <si>
    <t>Doña Maria .</t>
  </si>
  <si>
    <t>Blvd. 82 167, B1902 La Plata, Provincia de Buenos Aires -</t>
  </si>
  <si>
    <t>-34.9262051,-57.9882939</t>
  </si>
  <si>
    <t>HT6OLR</t>
  </si>
  <si>
    <t>Noriya Sushi</t>
  </si>
  <si>
    <t>C. 10 261 itusango 3380 y calle 10, B2800 Zárate, Argentina -</t>
  </si>
  <si>
    <t>-34.1092613,-59.04643179999999</t>
  </si>
  <si>
    <t>HTZP12</t>
  </si>
  <si>
    <t>700 Resto</t>
  </si>
  <si>
    <t>Alvear 2201 -</t>
  </si>
  <si>
    <t>-34.545847,-58.5499455</t>
  </si>
  <si>
    <t>HTZE2D</t>
  </si>
  <si>
    <t>Sandwich Del Club Campana</t>
  </si>
  <si>
    <t>9 de Julio 717 -</t>
  </si>
  <si>
    <t>-34.1641434,-58.9573068</t>
  </si>
  <si>
    <t>HTZE2F</t>
  </si>
  <si>
    <t>Holy Mila Campana</t>
  </si>
  <si>
    <t>HTKL1T</t>
  </si>
  <si>
    <t>La Rosita 1932</t>
  </si>
  <si>
    <t>Rodríguez Peña 2646 - Mar del Plata -</t>
  </si>
  <si>
    <t>-38.012942,-57.5584329</t>
  </si>
  <si>
    <t>HRAQ8P</t>
  </si>
  <si>
    <t>Chajú Pasteleria</t>
  </si>
  <si>
    <t>Jockey Club 2508, B1667DDJ Manuel Alberti, Provincia de Buenos Aires, Argentina 2508</t>
  </si>
  <si>
    <t>-34.4405793,-58.76309919999999</t>
  </si>
  <si>
    <t>HTWTGX</t>
  </si>
  <si>
    <t>Lo De Nilda Comidas</t>
  </si>
  <si>
    <t>Catriel 3593, C1431 Buenos Aires, Argentina -</t>
  </si>
  <si>
    <t>-34.5674875,-58.50457879999999</t>
  </si>
  <si>
    <t>HTZE7D</t>
  </si>
  <si>
    <t>El Club De La Milanesa Campana</t>
  </si>
  <si>
    <t>9 DE JULIO 717 -</t>
  </si>
  <si>
    <t>HTA076</t>
  </si>
  <si>
    <t>Chicken Chill  San Pedrito</t>
  </si>
  <si>
    <t>Av. San Pedrito 5, C1406 Cdad. Autónoma de Buenos Aires (DENTRO DEL LOCAL DE KENTUCKY) -</t>
  </si>
  <si>
    <t>-34.63027350000002,-58.46972045092623</t>
  </si>
  <si>
    <t>HTA2O3</t>
  </si>
  <si>
    <t>Margarita Restaurante</t>
  </si>
  <si>
    <t>Almte. Brown 3724, B1637 La Lucila, Argentina -</t>
  </si>
  <si>
    <t>-34.49421,-58.48079970000001</t>
  </si>
  <si>
    <t>HTACLM</t>
  </si>
  <si>
    <t>Xiomi's Bakery And Coffee</t>
  </si>
  <si>
    <t>3 de Febrero 1308, B1646 San Fernando, Provincia de Buenos Aires -</t>
  </si>
  <si>
    <t>-34.4430119,-58.55554409999999</t>
  </si>
  <si>
    <t>HTH7P9</t>
  </si>
  <si>
    <t>Terrano Restó Bar</t>
  </si>
  <si>
    <t>Circuito turístico S/n A 50 metros de la virgen de lourdes, 5539 Mendoza, Argentina -</t>
  </si>
  <si>
    <t>-32.85868611802574,-68.90304200632515</t>
  </si>
  <si>
    <t>HTAO8N</t>
  </si>
  <si>
    <t>Pizza Planet - Luján</t>
  </si>
  <si>
    <t>Colón 1182, B6700 Luján, Argentina -</t>
  </si>
  <si>
    <t>-34.5677234,-59.11606940000001</t>
  </si>
  <si>
    <t>HTAKMR</t>
  </si>
  <si>
    <t>Zoe Y Nosotros</t>
  </si>
  <si>
    <t>Campichuelo 5978, B1875 Wilde, Argentina -</t>
  </si>
  <si>
    <t>-34.7173303,-58.3373459</t>
  </si>
  <si>
    <t>HTK6YR</t>
  </si>
  <si>
    <t>Deliarepa</t>
  </si>
  <si>
    <t>Sarmiento 24, M5501 Mendoza, Argentina -</t>
  </si>
  <si>
    <t>-32.9374658,-68.8463982</t>
  </si>
  <si>
    <t>HP066M</t>
  </si>
  <si>
    <t>Arepa Y Sazon</t>
  </si>
  <si>
    <t>Iberá 277, B1872 Crucecita, Argentina -</t>
  </si>
  <si>
    <t>-34.6710117,-58.3486308238</t>
  </si>
  <si>
    <t>HTA3HG</t>
  </si>
  <si>
    <t>Ricatti Empanadas Y Pizzas - Av Cordoba Caba</t>
  </si>
  <si>
    <t>Av. Córdoba 1760, C1055AAU Cdad. Autónoma de Buenos Aires -</t>
  </si>
  <si>
    <t>-34.5998176,-58.39219809999999</t>
  </si>
  <si>
    <t>HPNHY3</t>
  </si>
  <si>
    <t>Bahía.</t>
  </si>
  <si>
    <t>Av. Bartolomé Mitre 1, B1603 Villa Martelli, Argentina -</t>
  </si>
  <si>
    <t>Villa Martelli</t>
  </si>
  <si>
    <t>-34.5490756,-58.5002544</t>
  </si>
  <si>
    <t>HAMYPE</t>
  </si>
  <si>
    <t>Shawarma Alamir.</t>
  </si>
  <si>
    <t>Av. Olazábal 1780 -</t>
  </si>
  <si>
    <t>-34.55701377989653,-58.45227297076955</t>
  </si>
  <si>
    <t>HTAO6H</t>
  </si>
  <si>
    <t>El Vergel 130</t>
  </si>
  <si>
    <t>Justo José de Urquiza 2025 Frente a la plaza alta Córdoba, X5000 Córdoba, Argentina -</t>
  </si>
  <si>
    <t>-31.3917641,-64.1857801</t>
  </si>
  <si>
    <t>HTA05J</t>
  </si>
  <si>
    <t>Chicken Chill Abasto</t>
  </si>
  <si>
    <t>CORRIENTES AV. 3599 -</t>
  </si>
  <si>
    <t>-34.6036651,-58.4155301</t>
  </si>
  <si>
    <t>HTABGP</t>
  </si>
  <si>
    <t>Fran Burger 462</t>
  </si>
  <si>
    <t>Alberto Gabetta 8450, S2008 Rosario, Argentina -</t>
  </si>
  <si>
    <t>Antártida Argentina</t>
  </si>
  <si>
    <t>-32.9350291,-60.7433719</t>
  </si>
  <si>
    <t>HP1Q6J</t>
  </si>
  <si>
    <t>La Nueva Merced - Alberti</t>
  </si>
  <si>
    <t>Alberti 2788 - Mar del Plata -</t>
  </si>
  <si>
    <t>-38.0059008,-57.55460950000001</t>
  </si>
  <si>
    <t>HTAV4B</t>
  </si>
  <si>
    <t>La Verdadera Sandwicherias</t>
  </si>
  <si>
    <t>Belgrano 954, B1663 San Miguel, Argentina -</t>
  </si>
  <si>
    <t>-34.5408745,-58.7091789</t>
  </si>
  <si>
    <t>HTZMLZ</t>
  </si>
  <si>
    <t>La Mulita.</t>
  </si>
  <si>
    <t>Perito Moreno 1415, M5501 Mendoza, Argentina -</t>
  </si>
  <si>
    <t>-32.94068,-68.8480479</t>
  </si>
  <si>
    <t>HTWIG4</t>
  </si>
  <si>
    <t>Sandwich &amp; Mila - Pilar</t>
  </si>
  <si>
    <t>Chile 611 -</t>
  </si>
  <si>
    <t>-34.4459081,-58.91109660000001</t>
  </si>
  <si>
    <t>HTWRZW</t>
  </si>
  <si>
    <t>Calabria - San Miguel I</t>
  </si>
  <si>
    <t>Av presidente peron 1274 -</t>
  </si>
  <si>
    <t>-34.5447005,-58.7081056</t>
  </si>
  <si>
    <t>HTRB7S</t>
  </si>
  <si>
    <t>Lo De Alfredo Comidas</t>
  </si>
  <si>
    <t>San Isidro 5632 Entre Polonia y Lobos (Planta Alta), B1875 Wilde, Argentina -</t>
  </si>
  <si>
    <t>-34.6930169,-58.3160006</t>
  </si>
  <si>
    <t>HTAC0X</t>
  </si>
  <si>
    <t>Cocina Gaucha</t>
  </si>
  <si>
    <t>Balcarce 1488, T4001JDK San Miguel de Tucumán, Tucumán -</t>
  </si>
  <si>
    <t>Zona Norte</t>
  </si>
  <si>
    <t>-26.8118152,-65.1940906</t>
  </si>
  <si>
    <t>HTGA6S</t>
  </si>
  <si>
    <t>Cake House - Mendoza</t>
  </si>
  <si>
    <t>Anchorena 20, M5507 LUJAN DE CUYO, Argentina -</t>
  </si>
  <si>
    <t>Mayor Drummond</t>
  </si>
  <si>
    <t>-33.0222323,-68.8731375</t>
  </si>
  <si>
    <t>HTA07M</t>
  </si>
  <si>
    <t>Social Resto</t>
  </si>
  <si>
    <t>Almirante Brown 399 -</t>
  </si>
  <si>
    <t>-34.71842110000001,-58.2588956</t>
  </si>
  <si>
    <t>HTA5GK</t>
  </si>
  <si>
    <t>Argentos Burger</t>
  </si>
  <si>
    <t>Víctor Hugo 1231, 1875 Wilde, Argentina -</t>
  </si>
  <si>
    <t>-34.7176805,-58.3279806</t>
  </si>
  <si>
    <t>HTAU5D</t>
  </si>
  <si>
    <t>Jope Sushi</t>
  </si>
  <si>
    <t>Sor Teresa 520, B1629 Pilar, Argentina -</t>
  </si>
  <si>
    <t>-34.4708014,-58.9713976</t>
  </si>
  <si>
    <t>HPQGL5</t>
  </si>
  <si>
    <t>Pizza Goll Escobar Ii</t>
  </si>
  <si>
    <t>Av. San Martin 253 -</t>
  </si>
  <si>
    <t>-34.3418458,-58.78687439999999</t>
  </si>
  <si>
    <t>HTRROF</t>
  </si>
  <si>
    <t>Alvear Pizza X Metro Don Torcuato</t>
  </si>
  <si>
    <t>Gral. Alvear 2575 -</t>
  </si>
  <si>
    <t>-34.4886559,-58.6209693</t>
  </si>
  <si>
    <t>HTRKZM</t>
  </si>
  <si>
    <t>Cruje</t>
  </si>
  <si>
    <t>Pareja 2614, C1419 Buenos Aires, Argentina -</t>
  </si>
  <si>
    <t>-34.5881183,-58.4955673</t>
  </si>
  <si>
    <t>HTWIGR</t>
  </si>
  <si>
    <t>Ricatti Empanadas Y Pizzas - Retiro</t>
  </si>
  <si>
    <t>Av. Dr. José María Ramos Mejía 1420, Cdad. Autónoma de Buenos Aires, Ciudad Autónoma de Buenos Aires, Argentina -</t>
  </si>
  <si>
    <t>-34.5904143,-58.3738742</t>
  </si>
  <si>
    <t>HTZP93</t>
  </si>
  <si>
    <t>700 Brunch Y Pastelería</t>
  </si>
  <si>
    <t>Libertad 4851 -</t>
  </si>
  <si>
    <t>-34.5456483,-58.5499167</t>
  </si>
  <si>
    <t>HTZP9R</t>
  </si>
  <si>
    <t>Café Registrado Italiano</t>
  </si>
  <si>
    <t>J. D. Perón 4211 -</t>
  </si>
  <si>
    <t>-34.6058311,-58.42631529999999</t>
  </si>
  <si>
    <t>HTWN95</t>
  </si>
  <si>
    <t>Pasta Amore  - Godoy Cruz</t>
  </si>
  <si>
    <t>Av. San Martín 1658, M5501 Godoy Cruz, Mendoza -</t>
  </si>
  <si>
    <t>-32.90778941102831,-68.84386003862303</t>
  </si>
  <si>
    <t>4M7AQ7</t>
  </si>
  <si>
    <t>Oficina Cel</t>
  </si>
  <si>
    <t>Shop</t>
  </si>
  <si>
    <t>7208 Avenida del Libertador. Piso 20 -</t>
  </si>
  <si>
    <t>-34.5467159,-58.45820380000001</t>
  </si>
  <si>
    <t>HTW1ZN</t>
  </si>
  <si>
    <t>Cumbre Panaderia</t>
  </si>
  <si>
    <t>Av. Colón 531, M5500 Ciudad, Mendoza -</t>
  </si>
  <si>
    <t>2da Sección Barrio Civico</t>
  </si>
  <si>
    <t>-32.8937137,-68.84728489999999</t>
  </si>
  <si>
    <t>HTAWTS</t>
  </si>
  <si>
    <t>Iri Bar Birra &amp; Pizza</t>
  </si>
  <si>
    <t>Pres. Juan Domingo Perón 487, S2132 Santa Fe, Argentina -</t>
  </si>
  <si>
    <t>-32.90533037440346,-60.80627038532372</t>
  </si>
  <si>
    <t>HTWTPK</t>
  </si>
  <si>
    <t>Diporto Club</t>
  </si>
  <si>
    <t>Agustín Piaggio 1150, Córdoba -</t>
  </si>
  <si>
    <t>-31.4954233,-64.1823055</t>
  </si>
  <si>
    <t>HTRR59</t>
  </si>
  <si>
    <t>Mystic Alta Cocina Peruana</t>
  </si>
  <si>
    <t>Av. Hipólito Yrigoyen 1128 -</t>
  </si>
  <si>
    <t>-34.6546019,-58.7231822</t>
  </si>
  <si>
    <t>4M2DIB</t>
  </si>
  <si>
    <t>Tio Max - Villa Allende</t>
  </si>
  <si>
    <t>HTW9VL</t>
  </si>
  <si>
    <t>Las Golondrinas</t>
  </si>
  <si>
    <t>25 de Mayo 886, B6700 Luján, Argentina -</t>
  </si>
  <si>
    <t>-34.5648938,-59.10843379999999</t>
  </si>
  <si>
    <t>HTW0SK</t>
  </si>
  <si>
    <t>Rudolf Soho</t>
  </si>
  <si>
    <t>GURRUCHAGA 1771 -</t>
  </si>
  <si>
    <t>-34.5881979,-58.4276162</t>
  </si>
  <si>
    <t>HP6PXX</t>
  </si>
  <si>
    <t>Sei Tu  Devoto -</t>
  </si>
  <si>
    <t>Av. Lope de Vega 3238, C1419, Buenos Aire -</t>
  </si>
  <si>
    <t>-34.6135279,-58.5261074</t>
  </si>
  <si>
    <t>HRCXYJ</t>
  </si>
  <si>
    <t>Lacasadeham - Berazategui.</t>
  </si>
  <si>
    <t>C. 134 424, B1884 Berazategui, Argentina -</t>
  </si>
  <si>
    <t>-34.7600822,-58.2310729</t>
  </si>
  <si>
    <t>HT89C8</t>
  </si>
  <si>
    <t>Gordittos Pizzeria.</t>
  </si>
  <si>
    <t>Roberto Casaux 270 Casa con pilares y un arbol -</t>
  </si>
  <si>
    <t>Burzaco</t>
  </si>
  <si>
    <t>-34.8385066,-58.3775523</t>
  </si>
  <si>
    <t>HT316Q</t>
  </si>
  <si>
    <t>Palta Y Nuez</t>
  </si>
  <si>
    <t>Av. Mitre 399, Quilmes, Argentina -</t>
  </si>
  <si>
    <t>-34.71753340000001,-58.2569817</t>
  </si>
  <si>
    <t>HTAUWJ</t>
  </si>
  <si>
    <t>Barrito Empanadas</t>
  </si>
  <si>
    <t>Nicaragua 4618, C1414 Buenos Aires, Argentina -</t>
  </si>
  <si>
    <t>-34.5880132,-58.425749</t>
  </si>
  <si>
    <t>HTHCWA</t>
  </si>
  <si>
    <t>La Rotisserie Castelar</t>
  </si>
  <si>
    <t>2854 Pres. Domingo Faustino Sarmiento -</t>
  </si>
  <si>
    <t>-34.6446908,-58.647232</t>
  </si>
  <si>
    <t>HTWZ0W</t>
  </si>
  <si>
    <t>El Verguel - Santo Domingo</t>
  </si>
  <si>
    <t>Av. Velez Sarsfield 34 -</t>
  </si>
  <si>
    <t>-31.415496,-64.1869683</t>
  </si>
  <si>
    <t>HPVOH3</t>
  </si>
  <si>
    <t>Como En Casa - Cordoba</t>
  </si>
  <si>
    <t>Rodriguez Peña 2565 -</t>
  </si>
  <si>
    <t>-31.3856135,-64.1882148</t>
  </si>
  <si>
    <t>HT6BM2</t>
  </si>
  <si>
    <t>Camila Resto Bar.</t>
  </si>
  <si>
    <t>Vidal 1918, C1428 Buenos Aires, Argentina -</t>
  </si>
  <si>
    <t>-34.5659367,-58.4588233</t>
  </si>
  <si>
    <t>4MNIDU</t>
  </si>
  <si>
    <t>Carrefour - Express Avenida Bordereau 9950 (6012)</t>
  </si>
  <si>
    <t>Avenida Bordereau 9950, córdoba -</t>
  </si>
  <si>
    <t>Villa Allende Parque</t>
  </si>
  <si>
    <t>-31.3094814,-64.2879403</t>
  </si>
  <si>
    <t>HT6AF7</t>
  </si>
  <si>
    <t>Theo Street Food</t>
  </si>
  <si>
    <t>Hidalgo 255 -</t>
  </si>
  <si>
    <t>-34.616337,-58.43878340000001</t>
  </si>
  <si>
    <t>HTWP1G</t>
  </si>
  <si>
    <t>Miuriel</t>
  </si>
  <si>
    <t>México 1325, C1097 Buenos Aires, Argentina -</t>
  </si>
  <si>
    <t>-34.6154014,-58.38486150000001</t>
  </si>
  <si>
    <t>HTA1Y5</t>
  </si>
  <si>
    <t>Bon Profit -yerba Buena</t>
  </si>
  <si>
    <t>HIGUERITAS 2140 (esquina obispo Colombres) sino con ese 2140 el GPS manda a la otra cuadra -</t>
  </si>
  <si>
    <t>-26.80387113124555,-65.2985130951065</t>
  </si>
  <si>
    <t>HTA93N</t>
  </si>
  <si>
    <t>Parrilla Luna</t>
  </si>
  <si>
    <t>Adrian de Rosario Luna 1137, B1686 Hurlingham, Argentina -</t>
  </si>
  <si>
    <t>-34.6037541,-58.6431859</t>
  </si>
  <si>
    <t>HTA0FS</t>
  </si>
  <si>
    <t>Gretta Gelato</t>
  </si>
  <si>
    <t>Lope de Vega 1662 -</t>
  </si>
  <si>
    <t>-34.6246586,-58.51136769999999</t>
  </si>
  <si>
    <t>HTACAY</t>
  </si>
  <si>
    <t>Ypf Full Aca Mendoza</t>
  </si>
  <si>
    <t>Amigorena 25, M5500 Mendoza, Argentina -</t>
  </si>
  <si>
    <t>-32.8920445,-68.8391951</t>
  </si>
  <si>
    <t>HTACFH</t>
  </si>
  <si>
    <t>Havanna - Alto Palermo</t>
  </si>
  <si>
    <t>Av. Sta. Fe 3253, C1091 Cdad. Autónoma de Buenos Aires, Argentina -</t>
  </si>
  <si>
    <t>-34.588338,-58.410757</t>
  </si>
  <si>
    <t>HTAOK2</t>
  </si>
  <si>
    <t>Calabria San Miguel Ii</t>
  </si>
  <si>
    <t>Av presidente Peron 1648 -</t>
  </si>
  <si>
    <t>-34.5416041,-58.71256440000001</t>
  </si>
  <si>
    <t>HTWQ0R</t>
  </si>
  <si>
    <t>Lo De Jacinto - Manantiales 1</t>
  </si>
  <si>
    <t>San Antonio 3951, X5000 Córdoba -</t>
  </si>
  <si>
    <t>Housing de Manantiales</t>
  </si>
  <si>
    <t>-31.45204208131659,-64.2394401067459</t>
  </si>
  <si>
    <t>HTA543</t>
  </si>
  <si>
    <t>Pizzas En Casa</t>
  </si>
  <si>
    <t>Garay 2451, B1722 Merlo, Argentina -</t>
  </si>
  <si>
    <t>-34.6620948,-58.7294164</t>
  </si>
  <si>
    <t>HTWJO0</t>
  </si>
  <si>
    <t>Bravas.</t>
  </si>
  <si>
    <t>Necochea 4455, La Tablada, Buenos Aires Province, Argentina -</t>
  </si>
  <si>
    <t>-34.6809125,-58.5296094</t>
  </si>
  <si>
    <t>HTG2H3</t>
  </si>
  <si>
    <t>Iupy La Plata</t>
  </si>
  <si>
    <t>C. 57 862, B1900 La Plata, Argentina -</t>
  </si>
  <si>
    <t>-34.9234799,-57.95001790000001</t>
  </si>
  <si>
    <t>HTAOH2</t>
  </si>
  <si>
    <t>La Vizcachera Del Chango Nieto 320</t>
  </si>
  <si>
    <t>Calle 137 número 4764, local 5 -</t>
  </si>
  <si>
    <t>-34.9028706,-58.04482119999999</t>
  </si>
  <si>
    <t>HTE0U1</t>
  </si>
  <si>
    <t>Saborest</t>
  </si>
  <si>
    <t>Pueyrredon 1062, Ezeiza, Argentina -</t>
  </si>
  <si>
    <t>-34.8542506,-58.5356854</t>
  </si>
  <si>
    <t>HTA5WY</t>
  </si>
  <si>
    <t>Churro Express - Cordoba</t>
  </si>
  <si>
    <t>Independencia 1446 -</t>
  </si>
  <si>
    <t>-31.432339,-64.19106649999999</t>
  </si>
  <si>
    <t>HTWT8R</t>
  </si>
  <si>
    <t>Buen Provecho Comidas Y Bebidas -</t>
  </si>
  <si>
    <t>Ugarte 365 Porton y rejas negras, 1648 Rincón de Milberg, Argentina -</t>
  </si>
  <si>
    <t>-34.3987801,-58.6111825</t>
  </si>
  <si>
    <t>HTW1UG</t>
  </si>
  <si>
    <t>Camila Pasteleria.</t>
  </si>
  <si>
    <t>Blvd. de los Italianos 289, B1874 Avellaneda, Argentina -</t>
  </si>
  <si>
    <t>Villa Domínico</t>
  </si>
  <si>
    <t>-34.6996786,-58.329511</t>
  </si>
  <si>
    <t>HTAUW9</t>
  </si>
  <si>
    <t>Wollen Plaza Colon</t>
  </si>
  <si>
    <t>Nicolas Avellaneda 230 -</t>
  </si>
  <si>
    <t>-31.4097017,-64.1949822</t>
  </si>
  <si>
    <t>HTWQ04</t>
  </si>
  <si>
    <t>Mayo Helados - Manantiales 1</t>
  </si>
  <si>
    <t>3950 San Antonio -</t>
  </si>
  <si>
    <t>-31.45208080528549,-64.24116228956662</t>
  </si>
  <si>
    <t>HTACG4</t>
  </si>
  <si>
    <t>Ramallo Villa Del Parque.</t>
  </si>
  <si>
    <t>Juan Agustín García 2910, C1416ELN Cdad. Autónoma de Buenos Aires -</t>
  </si>
  <si>
    <t>-34.61091100000001,-58.4816319</t>
  </si>
  <si>
    <t>HTA3RO</t>
  </si>
  <si>
    <t>Big 24hs - Night 735</t>
  </si>
  <si>
    <t>Chile 3650 -</t>
  </si>
  <si>
    <t>-38.0007124,-57.5875986</t>
  </si>
  <si>
    <t>HT6055</t>
  </si>
  <si>
    <t>Parripollo Tinti</t>
  </si>
  <si>
    <t>Vergara 328, M5504 Mendoza, Argentina -</t>
  </si>
  <si>
    <t>-32.9338261,-68.8420613</t>
  </si>
  <si>
    <t>HTWQNH</t>
  </si>
  <si>
    <t>Hell's Pizza Houssay.</t>
  </si>
  <si>
    <t>Av Cordoba 2135 local 5 -</t>
  </si>
  <si>
    <t>HTA58N</t>
  </si>
  <si>
    <t>Brillina Sin Gluten</t>
  </si>
  <si>
    <t>José Néstor Lencinas 730, M5507 Mendoza, Argentina -</t>
  </si>
  <si>
    <t>-33.0309527,-68.8668588</t>
  </si>
  <si>
    <t>HT6JC3</t>
  </si>
  <si>
    <t>Biutiful Bistro Belgrano</t>
  </si>
  <si>
    <t>Cuba 1935 -</t>
  </si>
  <si>
    <t>-34.562429,-58.45327819999999</t>
  </si>
  <si>
    <t>HTRRDW</t>
  </si>
  <si>
    <t>Dulceria Miakro</t>
  </si>
  <si>
    <t>Moreno 3310, C1209 Buenos Aires, Argentina -</t>
  </si>
  <si>
    <t>-34.6142248,-58.413132</t>
  </si>
  <si>
    <t>HTRB8X</t>
  </si>
  <si>
    <t>La Ventana.</t>
  </si>
  <si>
    <t>2010 Rivadavia -</t>
  </si>
  <si>
    <t>-34.5071497,-58.700283</t>
  </si>
  <si>
    <t>HTZWEI</t>
  </si>
  <si>
    <t>Val Di Taro</t>
  </si>
  <si>
    <t>Claudio María Joly 923, B1742 Paso del Rey, Argentina -</t>
  </si>
  <si>
    <t>-34.6604725,-58.767472</t>
  </si>
  <si>
    <t>HTWIXJ</t>
  </si>
  <si>
    <t>Laca Mendoza - Laboratorio Argentino De Cosmética Avanzada</t>
  </si>
  <si>
    <t>SAN JUAN 840
MENDOZA CIUDAD
5500-MENDOZA -</t>
  </si>
  <si>
    <t>-32.893847,-68.837598</t>
  </si>
  <si>
    <t>HTA2FF</t>
  </si>
  <si>
    <t>Yappa Churreria</t>
  </si>
  <si>
    <t>CNEL. SAYOS 928 -</t>
  </si>
  <si>
    <t>-34.6967922,-58.4036351</t>
  </si>
  <si>
    <t>HTRKZT</t>
  </si>
  <si>
    <t>Rulay Pollo Frito</t>
  </si>
  <si>
    <t>Hernandarias 457, B8000 Bahía Blanca, Argentina -</t>
  </si>
  <si>
    <t>Las Acacias</t>
  </si>
  <si>
    <t>-38.68332350000001,-62.2129959</t>
  </si>
  <si>
    <t>HTA232</t>
  </si>
  <si>
    <t>Súper Miga - Cordóba</t>
  </si>
  <si>
    <t>Hector Paniza 2314, X5010 Córdoba, Argentina -</t>
  </si>
  <si>
    <t>-31.4273964,-64.2177001</t>
  </si>
  <si>
    <t>HTZGTU</t>
  </si>
  <si>
    <t>La Legion</t>
  </si>
  <si>
    <t>Concepcion 1294, B1882 Ezpeleta, Argentina -</t>
  </si>
  <si>
    <t>Ezpeleta</t>
  </si>
  <si>
    <t>-34.7531859,-58.25126599999999</t>
  </si>
  <si>
    <t>HTRKRL</t>
  </si>
  <si>
    <t>Spiroburger</t>
  </si>
  <si>
    <t>Spiro 4747, B1757 Gregorio de Laferrere, Argentina -</t>
  </si>
  <si>
    <t>-34.7610711,-58.595976</t>
  </si>
  <si>
    <t>HTZG0S</t>
  </si>
  <si>
    <t>Kievian-</t>
  </si>
  <si>
    <t>Bahía Blanca 3326, C1417 Buenos Aires, Argentina -</t>
  </si>
  <si>
    <t>-34.6038961,-58.5069916</t>
  </si>
  <si>
    <t>HTAF9O</t>
  </si>
  <si>
    <t>El Tano Mozzarella.</t>
  </si>
  <si>
    <t>Concejal Juan Brown 227 -</t>
  </si>
  <si>
    <t>-34.8141964,-58.2802061</t>
  </si>
  <si>
    <t>HTA1M8</t>
  </si>
  <si>
    <t>Koko - Quilmes</t>
  </si>
  <si>
    <t>Martín Rodríguez 430, B1879 Quilmes, Argentina -</t>
  </si>
  <si>
    <t>-34.7244506,-58.2805151</t>
  </si>
  <si>
    <t>HTACOZ</t>
  </si>
  <si>
    <t>Havanna - Los Arcos</t>
  </si>
  <si>
    <t>Godoy Cruz 2570, C1425 FQH, Cdad. Autónoma de Buenos Aires, Argentina -</t>
  </si>
  <si>
    <t>-34.5801915,-58.42687729999999</t>
  </si>
  <si>
    <t>HTRBHB</t>
  </si>
  <si>
    <t>La Cocina De Manolo.</t>
  </si>
  <si>
    <t>1530 Lincoln -</t>
  </si>
  <si>
    <t>-34.6422189,-58.77524460000001</t>
  </si>
  <si>
    <t>HTRLNO</t>
  </si>
  <si>
    <t>Muzza Madre - Azcuenaga..</t>
  </si>
  <si>
    <t>1579 Azcuénaga -</t>
  </si>
  <si>
    <t>-34.590937,-58.3976069</t>
  </si>
  <si>
    <t>HTA1GV</t>
  </si>
  <si>
    <t>Helados Daniel - Palermo Soho</t>
  </si>
  <si>
    <t>Thames 1789, Palermo, CABA, Ciudad Autónoma de Buenos Aires, Argentina -</t>
  </si>
  <si>
    <t>-34.58691200000001,-58.4292518</t>
  </si>
  <si>
    <t>HAV5AE</t>
  </si>
  <si>
    <t>El 27 Migas</t>
  </si>
  <si>
    <t>Avenida Ricardo Rojas 8087 Córdoba, Argentina -</t>
  </si>
  <si>
    <t>Argüello</t>
  </si>
  <si>
    <t>-31.3350873,-64.272825</t>
  </si>
  <si>
    <t>HTWJQF</t>
  </si>
  <si>
    <t>Lo De Dany Pizzas.</t>
  </si>
  <si>
    <t>Miralla 456, C1408 Buenos Aires, Argentina -</t>
  </si>
  <si>
    <t>-34.6434788,-58.5068424</t>
  </si>
  <si>
    <t>HTRBJP</t>
  </si>
  <si>
    <t>Listo Para El Mate</t>
  </si>
  <si>
    <t>Salta 1760, B1667 Manuel Alberti, Argentina -</t>
  </si>
  <si>
    <t>-34.4513864,-58.77280199999999</t>
  </si>
  <si>
    <t>HTACPB</t>
  </si>
  <si>
    <t>Ypf Full Rosario España</t>
  </si>
  <si>
    <t>Sta Fe 1694, S2000ATZ Rosario, Santa Fe, Argentina -</t>
  </si>
  <si>
    <t>-32.94345,-60.64585489999999</t>
  </si>
  <si>
    <t>HTA26P</t>
  </si>
  <si>
    <t>Panaderia Fratelli - Munro.</t>
  </si>
  <si>
    <t>Bartolome mitre 2332 -</t>
  </si>
  <si>
    <t>-34.52827250000001,-58.5174232</t>
  </si>
  <si>
    <t>HTZQLN</t>
  </si>
  <si>
    <t>Vale La Pena Córdoba</t>
  </si>
  <si>
    <t>Mariano Larra 3273, X5009 Córdoba, Argentina -</t>
  </si>
  <si>
    <t>Palermo Bajo</t>
  </si>
  <si>
    <t>-31.3864947,-64.2249772</t>
  </si>
  <si>
    <t>HTWQSL</t>
  </si>
  <si>
    <t>Emuná - Pasteleria</t>
  </si>
  <si>
    <t>Mariano Moreno Bis 135 2b, S2000 Rosario, Argentina -</t>
  </si>
  <si>
    <t>-32.9335463,-60.6477524</t>
  </si>
  <si>
    <t>HTA81O</t>
  </si>
  <si>
    <t>Rollstar Palermo Hollywood 277</t>
  </si>
  <si>
    <t>Paraguay 5082, C1425 Cdad. Autónoma de Buenos Aires, Argentina -</t>
  </si>
  <si>
    <t>-34.5804429,-58.42985179999999</t>
  </si>
  <si>
    <t>HTWQCR</t>
  </si>
  <si>
    <t>Donut Makers Escobar</t>
  </si>
  <si>
    <t>Dr Travi 737 -</t>
  </si>
  <si>
    <t>-34.3493148,-58.79311639999999</t>
  </si>
  <si>
    <t>HTA14A</t>
  </si>
  <si>
    <t>Bulli Bar &amp; Grill</t>
  </si>
  <si>
    <t>Av. Caseros 2702, C1264 Buenos Aires, Argentina -</t>
  </si>
  <si>
    <t>Parque Patricios</t>
  </si>
  <si>
    <t>-34.6363765,-58.4006177</t>
  </si>
  <si>
    <t>HTAL89</t>
  </si>
  <si>
    <t>Sin Miedo</t>
  </si>
  <si>
    <t>Av. Pres. Bernardino Rivadavia 1596, B1824 Valentín Alsina, Argentina -</t>
  </si>
  <si>
    <t>-34.6842009,-58.4079135</t>
  </si>
  <si>
    <t>HTWR5W</t>
  </si>
  <si>
    <t>Tienda De Café Resto - Ayacucho.</t>
  </si>
  <si>
    <t>PEÑA 2005 -</t>
  </si>
  <si>
    <t>-34.5925196,-58.3949909</t>
  </si>
  <si>
    <t>HA02KM</t>
  </si>
  <si>
    <t>Ciocolatti Helados - San Rudecindo</t>
  </si>
  <si>
    <t>Santa Sofía 1461 -</t>
  </si>
  <si>
    <t>Bosques</t>
  </si>
  <si>
    <t>-34.8167512,-58.20492229999999</t>
  </si>
  <si>
    <t>HTLTW1</t>
  </si>
  <si>
    <t>Hana Mana - Confitería Heladería</t>
  </si>
  <si>
    <t>LORENZO SUÁREZ DE FIGUEROA 451 Dpto:1
BARRIO MARQUES DE SOBREMONTE 
5008-CORDOBA -</t>
  </si>
  <si>
    <t>-31.363592,-64.1978517</t>
  </si>
  <si>
    <t>HTAU0A</t>
  </si>
  <si>
    <t>Sabor A Noa.</t>
  </si>
  <si>
    <t>El Zorzal 2984 A metros de la calle principal salta, B1834 Lomas de Zamora, Argentina -</t>
  </si>
  <si>
    <t>-34.7642462,-58.3597909</t>
  </si>
  <si>
    <t>HTA3LX</t>
  </si>
  <si>
    <t>Chavela Taqueria Olavarria</t>
  </si>
  <si>
    <t>2722 Olavarría -</t>
  </si>
  <si>
    <t>-38.0137158,-57.5415032</t>
  </si>
  <si>
    <t>HRCTC7</t>
  </si>
  <si>
    <t>Gyros Shawarma .</t>
  </si>
  <si>
    <t>Mario Bravo 1298 -</t>
  </si>
  <si>
    <t>-34.5947496,-58.4146669</t>
  </si>
  <si>
    <t>HTK1YU</t>
  </si>
  <si>
    <t>Stammtisch</t>
  </si>
  <si>
    <t>Manuela Pedraza 1810, C1429 Buenos Aires, Argentina -</t>
  </si>
  <si>
    <t>-34.5485933,-58.4607473</t>
  </si>
  <si>
    <t>HTWTWS</t>
  </si>
  <si>
    <t>Dulce Hora - Juramento.</t>
  </si>
  <si>
    <t>Av Juramento 2729 -</t>
  </si>
  <si>
    <t>-34.5637573,-58.4598071</t>
  </si>
  <si>
    <t>HTWFRL</t>
  </si>
  <si>
    <t>Tequetoto</t>
  </si>
  <si>
    <t>Justo Daract 2442, B1744 Moreno, Argentina -</t>
  </si>
  <si>
    <t>-34.6428859,-58.78203130000001</t>
  </si>
  <si>
    <t>HT6Y56</t>
  </si>
  <si>
    <t>Carne By Ronda</t>
  </si>
  <si>
    <t>3600 Vedia -</t>
  </si>
  <si>
    <t>-34.5464842,-58.48785359999999</t>
  </si>
  <si>
    <t>HTR436</t>
  </si>
  <si>
    <t>Alto Bajón  Rotisería &amp; Bar</t>
  </si>
  <si>
    <t>Guardia Nacional 2415 Casa naranja con rejas negra y puerta blanca., C1439 Buenos Aires, Argentina -</t>
  </si>
  <si>
    <t>Villa Lugano</t>
  </si>
  <si>
    <t>-34.65924030000001,-58.47882999999999</t>
  </si>
  <si>
    <t>HTL7LA</t>
  </si>
  <si>
    <t>Antares Lujan</t>
  </si>
  <si>
    <t>Adolfo Alsina 1189, B6700 Luján, Argentina -</t>
  </si>
  <si>
    <t>-34.5685213,-59.1135368</t>
  </si>
  <si>
    <t>HTA24S</t>
  </si>
  <si>
    <t>Hey Muzza - Ingeniero Maschwitz</t>
  </si>
  <si>
    <t>Av. Villanueva 1591, B1623 Ingeniero Maschwitz, Provincia de Buenos Aires, Argentina -</t>
  </si>
  <si>
    <t>-34.3920907,-58.73894109999999</t>
  </si>
  <si>
    <t>HTRHUX</t>
  </si>
  <si>
    <t>Nechis</t>
  </si>
  <si>
    <t>Blvd. San Juan 240, X5000 Córdoba, Argentina -</t>
  </si>
  <si>
    <t>-31.4197261,-64.1892252</t>
  </si>
  <si>
    <t>HTGJXD</t>
  </si>
  <si>
    <t>Brozziano Empanadas 747</t>
  </si>
  <si>
    <t>Av. Belgrano 1711, C1093 Buenos Aires, Argentina -</t>
  </si>
  <si>
    <t>-34.6135295,-58.39063830000001</t>
  </si>
  <si>
    <t>HTAUBV</t>
  </si>
  <si>
    <t>Tequeños Addiction - Remedios De Escalada.</t>
  </si>
  <si>
    <t>4498 Ministro Brin -</t>
  </si>
  <si>
    <t>-34.7254312,-58.39851879999999</t>
  </si>
  <si>
    <t>HTWTA6</t>
  </si>
  <si>
    <t>Dulce Hora - Ramos Mejia.</t>
  </si>
  <si>
    <t>Av de mayo 730 r Mejía, -</t>
  </si>
  <si>
    <t>-34.6473499,-58.5640699</t>
  </si>
  <si>
    <t>HTAC7P</t>
  </si>
  <si>
    <t>Havanna - Solar De La Abadía</t>
  </si>
  <si>
    <t>Av. Luis María Campos 901, C1426 Cdad. Autónoma de Buenos Aires, Argentina -</t>
  </si>
  <si>
    <t>-34.56763180000001,-58.4374007</t>
  </si>
  <si>
    <t>HTAFCJ</t>
  </si>
  <si>
    <t>Tamy Sandwicheria .</t>
  </si>
  <si>
    <t>Garibaldi 2824, B1655 Villa José León Suárez, Argentina -</t>
  </si>
  <si>
    <t>-34.5353274,-58.57398779999999</t>
  </si>
  <si>
    <t>HRXMF9</t>
  </si>
  <si>
    <t>Macarena Gourmet</t>
  </si>
  <si>
    <t>Villa Carlos Paz, Córdoba Province, Argentina -</t>
  </si>
  <si>
    <t>-31.44989881982102,-64.52082830723813</t>
  </si>
  <si>
    <t>HTW1KI</t>
  </si>
  <si>
    <t>Hiei´s Club -</t>
  </si>
  <si>
    <t>Castelli 1218, B7602 Mar del Plata, Argentina -</t>
  </si>
  <si>
    <t>-38.0160563,-57.54107690000001</t>
  </si>
  <si>
    <t>HRDGDT</t>
  </si>
  <si>
    <t>Pizza Uno Jose C. Paz</t>
  </si>
  <si>
    <t>1873 Av. Pres. Hipólito Yrigoyen -</t>
  </si>
  <si>
    <t>-34.5196429,-58.7532541</t>
  </si>
  <si>
    <t>HTKDXC</t>
  </si>
  <si>
    <t>Wing It! Pilar</t>
  </si>
  <si>
    <t>Golf Club Golfers 2898, B1664 Manuel Alberti, Provincia de Buenos Aires -</t>
  </si>
  <si>
    <t>-34.4436981,-58.75647240000001</t>
  </si>
  <si>
    <t>HTA2AX</t>
  </si>
  <si>
    <t>Alku Café De Especialidad</t>
  </si>
  <si>
    <t>Patricias Argentinas 558, B1629 Pilar, Argentina -</t>
  </si>
  <si>
    <t>-34.4673612,-58.908857</t>
  </si>
  <si>
    <t>HTA5D5</t>
  </si>
  <si>
    <t>Sei Tu Belgrano 160</t>
  </si>
  <si>
    <t>Moldes 2202, C1428 Buenos Aires, Argentina -</t>
  </si>
  <si>
    <t>-34.5627074,-58.46050770000001</t>
  </si>
  <si>
    <t>HTR37W</t>
  </si>
  <si>
    <t>Vale Pecar Postres</t>
  </si>
  <si>
    <t>Av. Avellaneda 4072 5B, C1407 Buenos Aires, Argentina -</t>
  </si>
  <si>
    <t>-34.6301621,-58.485702</t>
  </si>
  <si>
    <t>HTA05G</t>
  </si>
  <si>
    <t>Fogattas Club</t>
  </si>
  <si>
    <t>Bernardo de Irigoyen 1975, B1878 Quilmes, Provincia de Buenos Aires -</t>
  </si>
  <si>
    <t>-34.73297730000001,-58.2613718</t>
  </si>
  <si>
    <t>HTW1L0</t>
  </si>
  <si>
    <t>Romaneto San Lorenzo</t>
  </si>
  <si>
    <t>San Lorenzo 131, X5000 Córdoba, Argentina -</t>
  </si>
  <si>
    <t>-31.4237354,-64.18544659999999</t>
  </si>
  <si>
    <t>4M28SZ</t>
  </si>
  <si>
    <t>Evaleiva - Belgrano</t>
  </si>
  <si>
    <t>Monroe 2565 -</t>
  </si>
  <si>
    <t>-34.5591235,-58.461569</t>
  </si>
  <si>
    <t>4M5YK6</t>
  </si>
  <si>
    <t>Ar527villaballesterii</t>
  </si>
  <si>
    <t>Moreno 1613 -</t>
  </si>
  <si>
    <t>-34.5328985,-58.5572286</t>
  </si>
  <si>
    <t>HTKWJM</t>
  </si>
  <si>
    <t>Ramallo Club Av Balbin</t>
  </si>
  <si>
    <t>Av. Dr. Ricardo Balbín 3557, C1430 Buenos Aires, Argentina -</t>
  </si>
  <si>
    <t>-34.5562285,-58.4801155</t>
  </si>
  <si>
    <t>HTKWOV</t>
  </si>
  <si>
    <t>Holic Devoto</t>
  </si>
  <si>
    <t>Sanabria 2901, C1417 Buenos Aires, Argentina -</t>
  </si>
  <si>
    <t>-34.6097319,-58.5074616</t>
  </si>
  <si>
    <t>HP74WL</t>
  </si>
  <si>
    <t>Parrilla El Gobernador</t>
  </si>
  <si>
    <t>Carlos Tejedor 111 -</t>
  </si>
  <si>
    <t>-34.70165653707436,-58.39366427001819</t>
  </si>
  <si>
    <t>4M2G20</t>
  </si>
  <si>
    <t>Dia - Almagro (485)</t>
  </si>
  <si>
    <t>Av. Boedo 431, C1218AAA Cdad. Autónoma de Buenos Aires -</t>
  </si>
  <si>
    <t>-34.6177187,-58.4169795</t>
  </si>
  <si>
    <t>HKLJ72</t>
  </si>
  <si>
    <t>Tu Buen Gusto.</t>
  </si>
  <si>
    <t>Combate de Las Piedras 1302 -</t>
  </si>
  <si>
    <t>-26.8326958,-65.21831639999999</t>
  </si>
  <si>
    <t>HTACQY</t>
  </si>
  <si>
    <t>Havanna Acassuso 586</t>
  </si>
  <si>
    <t>Av. del Libertador 14799, B1641 Acassuso, Provincia de Buenos Aires, Argentina -</t>
  </si>
  <si>
    <t>-34.477208,-58.49674210000001</t>
  </si>
  <si>
    <t>HTR4D6</t>
  </si>
  <si>
    <t>3 Empanadas 659</t>
  </si>
  <si>
    <t>Esteban Echeverría 350, B1842 Monte Grande, Argentina -</t>
  </si>
  <si>
    <t>-34.8088807,-58.4673117</t>
  </si>
  <si>
    <t>HTWSHI</t>
  </si>
  <si>
    <t>Tienda De Empanadas Almagro</t>
  </si>
  <si>
    <t>Gascón 548, C1181 Buenos Aires, Argentina -</t>
  </si>
  <si>
    <t>-34.6053708,-58.424625</t>
  </si>
  <si>
    <t>4M7O22</t>
  </si>
  <si>
    <t>Tienda De Café - Ayacucho</t>
  </si>
  <si>
    <t>HTEMES</t>
  </si>
  <si>
    <t>Pizzeria La Tranquera</t>
  </si>
  <si>
    <t>Av. Pres. Arturo Illia 2407, B1662 Buenos Aires, Argentina -</t>
  </si>
  <si>
    <t>-34.5715921,-58.5233943</t>
  </si>
  <si>
    <t>HTDHEW</t>
  </si>
  <si>
    <t>Del Otro Lado Del Muro</t>
  </si>
  <si>
    <t>Av. de los Lagos 9100, B1625 Belén de Escobar, Argentina -</t>
  </si>
  <si>
    <t>-34.3442803,-58.7262674</t>
  </si>
  <si>
    <t>HTKP9A</t>
  </si>
  <si>
    <t>Ch Comidas</t>
  </si>
  <si>
    <t>Talcahuano 3126, M5501 Mendoza, Argentina -</t>
  </si>
  <si>
    <t>-32.9015935,-68.8807489</t>
  </si>
  <si>
    <t>HTAF25</t>
  </si>
  <si>
    <t>Tamashi Comidas</t>
  </si>
  <si>
    <t>José Mármol 159, B1888 Florencio Varela, Argentina -</t>
  </si>
  <si>
    <t>-34.7996391,-58.27584909999999</t>
  </si>
  <si>
    <t>HTWRDJ</t>
  </si>
  <si>
    <t>Cafecito . 336</t>
  </si>
  <si>
    <t>Av. Lisandro de la Torre 307, C1408 Buenos Aires, Argentina -</t>
  </si>
  <si>
    <t>-34.6428439,-58.5209778</t>
  </si>
  <si>
    <t>HTZ23Q</t>
  </si>
  <si>
    <t>Asato Sushi</t>
  </si>
  <si>
    <t>584 Corrientes -</t>
  </si>
  <si>
    <t>-34.5086897,-58.48001099999999</t>
  </si>
  <si>
    <t>HTZO5G</t>
  </si>
  <si>
    <t>Messirve .</t>
  </si>
  <si>
    <t>Julián de Charras 3648, B1688 Villa Tesei, Provincia de Buenos Aires -</t>
  </si>
  <si>
    <t>-34.6171333,-58.64006509999999</t>
  </si>
  <si>
    <t>HTZ696</t>
  </si>
  <si>
    <t>Don Gino Ituzaingó</t>
  </si>
  <si>
    <t>Prof. Carlos Bagnat 3727, B1714 Ituzaingó, Argentina -</t>
  </si>
  <si>
    <t>-34.6379798,-58.708056</t>
  </si>
  <si>
    <t>HTWTW7</t>
  </si>
  <si>
    <t>Dulce Hora - Lomitas.</t>
  </si>
  <si>
    <t>Av Meeks 289 -</t>
  </si>
  <si>
    <t>-34.7642353,-58.39873790000001</t>
  </si>
  <si>
    <t>HTZ1MV</t>
  </si>
  <si>
    <t>Bien Argenta -</t>
  </si>
  <si>
    <t>Colectora Oeste Ramal Escobar km 54, B1625 Loma verde escobar, Argentina -</t>
  </si>
  <si>
    <t>-34.3327739,-58.83109209999999</t>
  </si>
  <si>
    <t>HTK10C</t>
  </si>
  <si>
    <t>Verde Esmeralda</t>
  </si>
  <si>
    <t>Maestras Gachet 3506, B1712 Castelar, Argentina -</t>
  </si>
  <si>
    <t>-34.6793605,-58.6594113</t>
  </si>
  <si>
    <t>HTALGV</t>
  </si>
  <si>
    <t>La Tranquera - Bar Pizzas</t>
  </si>
  <si>
    <t>Int. Nemesio Álvarez 89, B1744 Moreno, Argentina -</t>
  </si>
  <si>
    <t>-34.6485085,-58.79242859999999</t>
  </si>
  <si>
    <t>HTH23E</t>
  </si>
  <si>
    <t>Antojos Del Finde</t>
  </si>
  <si>
    <t>Av. del Libertador Gral. San Martín 933, Tigre, Provincia de Buenos Aires, Argentina -</t>
  </si>
  <si>
    <t>Ingeniero Adolfo Sourdeaux</t>
  </si>
  <si>
    <t>-34.49591757312084,-58.65295918976592</t>
  </si>
  <si>
    <t>HTACOI</t>
  </si>
  <si>
    <t>Arena Bar Y Cafe</t>
  </si>
  <si>
    <t>Reconquista 93, M5521 San Jose, Guaymallen, Argentina -</t>
  </si>
  <si>
    <t>San José</t>
  </si>
  <si>
    <t>-32.8943433,-68.8305207</t>
  </si>
  <si>
    <t>HTACHY</t>
  </si>
  <si>
    <t>Ypf Full Tejedor</t>
  </si>
  <si>
    <t>Av. Constitución &amp; Av. Carlos Tejedor, B7600 Mar del Plata, Provincia de Buenos Aires -</t>
  </si>
  <si>
    <t>-37.9652926,-57.5528830179</t>
  </si>
  <si>
    <t>HTWJG9</t>
  </si>
  <si>
    <t>Mesa Vegana</t>
  </si>
  <si>
    <t>Camargo 1050</t>
  </si>
  <si>
    <t>-34.5959534,-58.4452572</t>
  </si>
  <si>
    <t>HTAI40</t>
  </si>
  <si>
    <t>Hungry's San Isidro</t>
  </si>
  <si>
    <t>Av del Libertador 16631 -</t>
  </si>
  <si>
    <t>-34.4658675,-58.51370209999999</t>
  </si>
  <si>
    <t>HTZMEO</t>
  </si>
  <si>
    <t>Origen Frescos Y Congelados</t>
  </si>
  <si>
    <t>Martín Palero 48, M5500 Mendoza, Argentina -</t>
  </si>
  <si>
    <t>-32.9010225,-68.85335119999999</t>
  </si>
  <si>
    <t>HTWRLL</t>
  </si>
  <si>
    <t>Hungry's - Tigre</t>
  </si>
  <si>
    <t>Av Santiago de Liniers 138 -</t>
  </si>
  <si>
    <t>-34.4096105,-58.5920412</t>
  </si>
  <si>
    <t>HTAMDJ</t>
  </si>
  <si>
    <t>Valebrusama</t>
  </si>
  <si>
    <t>Castelli 774, B1804 Ezeiza, Argentina -</t>
  </si>
  <si>
    <t>-34.8429857,-58.5162402</t>
  </si>
  <si>
    <t>HTAC22</t>
  </si>
  <si>
    <t>Ayd Cookies</t>
  </si>
  <si>
    <t>Gral. José Gervasio Artigas 1164, C1416 Buenos Aires, Argentina -</t>
  </si>
  <si>
    <t>-34.6171851,-58.4698205</t>
  </si>
  <si>
    <t>HTAC0P</t>
  </si>
  <si>
    <t>Havanna - Jumbo Pilar</t>
  </si>
  <si>
    <t>Las Magnolias 698, B1629 Pilar, Provincia de Buenos Aires, Argentina -</t>
  </si>
  <si>
    <t>-34.4450015,-58.8695654</t>
  </si>
  <si>
    <t>HT6P09</t>
  </si>
  <si>
    <t>Heladería El Río</t>
  </si>
  <si>
    <t>Reconquista 1126 -</t>
  </si>
  <si>
    <t>-34.3627985,-58.68929989999999</t>
  </si>
  <si>
    <t>HTWSZV</t>
  </si>
  <si>
    <t>El Club De La Cocina</t>
  </si>
  <si>
    <t>Belgrano 599, B1646 San Fernando, Argentina -</t>
  </si>
  <si>
    <t>-34.4400057,-58.5628674</t>
  </si>
  <si>
    <t>HTAU7M</t>
  </si>
  <si>
    <t>Dely´s Pizza - Especialistas En Bordes Rellenos Y Fainá</t>
  </si>
  <si>
    <t>abedules 264, villa carlos paz , cordoba -</t>
  </si>
  <si>
    <t>-31.4221125,-64.52126559999999</t>
  </si>
  <si>
    <t>HTGVK1</t>
  </si>
  <si>
    <t>Postales</t>
  </si>
  <si>
    <t>Avellaneda 2588 -</t>
  </si>
  <si>
    <t>-38.0108946,-57.5560132</t>
  </si>
  <si>
    <t>HTABG4</t>
  </si>
  <si>
    <t>Pasta Vibes</t>
  </si>
  <si>
    <t>4754 Independencia -</t>
  </si>
  <si>
    <t>-34.5509134,-58.55495979999999</t>
  </si>
  <si>
    <t>HTZMHE</t>
  </si>
  <si>
    <t>B&amp;c Fiambres Y Quesos</t>
  </si>
  <si>
    <t>Italia 5954
Chacras de Coria
(5505) - Luján de Cuyo - Mendoza -</t>
  </si>
  <si>
    <t>-32.9822865,-68.8783821</t>
  </si>
  <si>
    <t>HTAF9K</t>
  </si>
  <si>
    <t>Pipiburgers</t>
  </si>
  <si>
    <t>Gral. Juan M. de Pueyrredón 38, B1888 Florencio Varela, Argentina -</t>
  </si>
  <si>
    <t>-34.8151828,-58.2767902</t>
  </si>
  <si>
    <t>HTA5D4</t>
  </si>
  <si>
    <t>Breykery</t>
  </si>
  <si>
    <t>C. 41 848, B1902 La Plata, Argentina -</t>
  </si>
  <si>
    <t>-34.9127521,-57.963489</t>
  </si>
  <si>
    <t>HTZK1F</t>
  </si>
  <si>
    <t>Elysium</t>
  </si>
  <si>
    <t>Cnel. Dorrego 267, B1842 Monte Grande, Argentina -</t>
  </si>
  <si>
    <t>-34.8183061,-58.4705519</t>
  </si>
  <si>
    <t>HTKES3</t>
  </si>
  <si>
    <t>Barullo - Mar Del Plata</t>
  </si>
  <si>
    <t>Avellaneda 2543, B7602 Mar del Plata, Argentina -</t>
  </si>
  <si>
    <t>-38.0108335,-57.55528249999999</t>
  </si>
  <si>
    <t>HTHYC3</t>
  </si>
  <si>
    <t>Esto Es Vida Ba.</t>
  </si>
  <si>
    <t>Corrientes 402, B1636 Olivos, Argentina -</t>
  </si>
  <si>
    <t>-34.5080634,-58.47856840000001</t>
  </si>
  <si>
    <t>HTW99C</t>
  </si>
  <si>
    <t>Aroma Deli Coffee</t>
  </si>
  <si>
    <t>Av. Avellaneda 3189, B1646 Virreyes, Argentina -</t>
  </si>
  <si>
    <t>-34.4578996,-58.5671766</t>
  </si>
  <si>
    <t>HTHDLA</t>
  </si>
  <si>
    <t>Chavosburger</t>
  </si>
  <si>
    <t>Fabián Onsari 453, B1875 Wilde, Argentina -</t>
  </si>
  <si>
    <t>-34.7083764,-58.3226894</t>
  </si>
  <si>
    <t>HTW0QZ</t>
  </si>
  <si>
    <t>Áurea Pastelería.</t>
  </si>
  <si>
    <t>Av.mitre 2248 -</t>
  </si>
  <si>
    <t>Pedro Molina</t>
  </si>
  <si>
    <t>-32.878008,-68.81290469999999</t>
  </si>
  <si>
    <t>HTA39I</t>
  </si>
  <si>
    <t>Little Costa Varesse 241</t>
  </si>
  <si>
    <t>Av. Patricio Peralta Ramos 3857, B7600 Mar Del Plata, Argentina -</t>
  </si>
  <si>
    <t>-38.0160036,-57.53129310000001</t>
  </si>
  <si>
    <t>HTA05B</t>
  </si>
  <si>
    <t>Pessaro 6</t>
  </si>
  <si>
    <t>Av. Rivadavia 1715, C1033 Buenos Aires, Argentina -</t>
  </si>
  <si>
    <t>-34.6089957,-58.39072279999999</t>
  </si>
  <si>
    <t>HTWYY4</t>
  </si>
  <si>
    <t>99bo - Burger House</t>
  </si>
  <si>
    <t>Buen Orden 99 Al lado de la esquina, B1832 Lomas de Zamora, Argentina -</t>
  </si>
  <si>
    <t>-34.7534935,-58.3734493</t>
  </si>
  <si>
    <t>HTAUC7</t>
  </si>
  <si>
    <t>El Sazon De Kari.</t>
  </si>
  <si>
    <t>Saravi 2410 -</t>
  </si>
  <si>
    <t>-34.4547121,-58.8354543</t>
  </si>
  <si>
    <t>HTK9EE</t>
  </si>
  <si>
    <t>Almacén Luchi</t>
  </si>
  <si>
    <t>Dr. Alejandro Korn 717, B1630 Pilar, Argentina -</t>
  </si>
  <si>
    <t>-34.4405406,-58.9041495</t>
  </si>
  <si>
    <t>HTAOW1</t>
  </si>
  <si>
    <t>Mostaza City Bell - Café &amp; Postres</t>
  </si>
  <si>
    <t>C. Cantilo 260, B1896 City Bell, Provincia de Buenos Aires, Argentina -</t>
  </si>
  <si>
    <t>-34.8686156,-58.0438545</t>
  </si>
  <si>
    <t>HTZHG4</t>
  </si>
  <si>
    <t>De La Gringa Córdoba</t>
  </si>
  <si>
    <t>Almte. Guillermo Brown 535, X5000 Córdoba, Argentina -</t>
  </si>
  <si>
    <t>-31.4130739,-64.2200842</t>
  </si>
  <si>
    <t>HR9OZ8</t>
  </si>
  <si>
    <t>Chamote Café.</t>
  </si>
  <si>
    <t>FARIAS 407 -</t>
  </si>
  <si>
    <t>-34.55425731389368,-58.70392897620507</t>
  </si>
  <si>
    <t>4MMWXZ</t>
  </si>
  <si>
    <t>Empanadas Del Carajo</t>
  </si>
  <si>
    <t>Charcas 4799 -</t>
  </si>
  <si>
    <t>-34.58069992,-58.42710114</t>
  </si>
  <si>
    <t>HTZIIL</t>
  </si>
  <si>
    <t>Sin Vuelta - Bodegón</t>
  </si>
  <si>
    <t>Av. 9 de Julio 1921, B1824 Lanús, Argentina -</t>
  </si>
  <si>
    <t>-34.7135523,-58.38258700000001</t>
  </si>
  <si>
    <t>HTWYCL</t>
  </si>
  <si>
    <t>Dulcam</t>
  </si>
  <si>
    <t>M. de Andes 1648, B1755 Rafael Castillo, Argentina -</t>
  </si>
  <si>
    <t>Rafael Castillo</t>
  </si>
  <si>
    <t>-34.697619,-58.6266838</t>
  </si>
  <si>
    <t>HTAWWZ</t>
  </si>
  <si>
    <t>Al Toque 155</t>
  </si>
  <si>
    <t>C. 846 484, B1881 Villa la Florida, Argentina -</t>
  </si>
  <si>
    <t>Villa la Florida</t>
  </si>
  <si>
    <t>-34.7696812,-58.28957399999999</t>
  </si>
  <si>
    <t>4M78I0</t>
  </si>
  <si>
    <t>Debarrrio -  Alta Cordoba</t>
  </si>
  <si>
    <t>Isabel la Catolica 736 local 2 -</t>
  </si>
  <si>
    <t>-31.390613,-64.184474</t>
  </si>
  <si>
    <t>HTA47G</t>
  </si>
  <si>
    <t>Demons - Palermo</t>
  </si>
  <si>
    <t>1919 Thames -</t>
  </si>
  <si>
    <t>-34.5859182,-58.4276286</t>
  </si>
  <si>
    <t>HTWIXF</t>
  </si>
  <si>
    <t>Tommaso</t>
  </si>
  <si>
    <t>Eduardo Wilde 1364, B1738 Francisco Alvarez, Argentina -</t>
  </si>
  <si>
    <t>La Reja</t>
  </si>
  <si>
    <t>-34.6214143,-58.84184390000001</t>
  </si>
  <si>
    <t>HTWICO</t>
  </si>
  <si>
    <t>Mimi Panaderia Y Pastelería - Triunvirato -</t>
  </si>
  <si>
    <t>Triunvirato 2074, B1754 Villa Luzuriaga, Argentina -</t>
  </si>
  <si>
    <t>-34.6574109,-58.58122079999999</t>
  </si>
  <si>
    <t>HTWO6C</t>
  </si>
  <si>
    <t>Mostaza Carr. Avellaneda - Liviano</t>
  </si>
  <si>
    <t>Av. Hipólito Yrigoyen 299, C1870 Avellaneda, Cdad. Autónoma de Buenos Aires, Argentina -</t>
  </si>
  <si>
    <t>-34.6604104,-58.37509960000001</t>
  </si>
  <si>
    <t>HTAOT6</t>
  </si>
  <si>
    <t>Mostaza City Bell - Liviano</t>
  </si>
  <si>
    <t>-34.86861595,-58.0438629</t>
  </si>
  <si>
    <t>HTAKM0</t>
  </si>
  <si>
    <t>Pancha La Plancha</t>
  </si>
  <si>
    <t>Av. Raúl Scalabrini Ortiz 1036 Es el edificio, tocar timbre en el 1° "10", C1414 Buenos Aires, Argentina -</t>
  </si>
  <si>
    <t>-34.5946272,-58.4308662</t>
  </si>
  <si>
    <t>HTKEE0</t>
  </si>
  <si>
    <t>Allegra Pizzas - Sandwiches</t>
  </si>
  <si>
    <t>Av. Juan Domingo Perón 1600 Local 2, Yerba Buena, Tucumán -</t>
  </si>
  <si>
    <t>-26.8017357,-65.2905712</t>
  </si>
  <si>
    <t>HTGTQP</t>
  </si>
  <si>
    <t>Kai Ora</t>
  </si>
  <si>
    <t>Av. Pres. Hipólito Yrigoyen 291, B1660 José C. Paz, Argentina -</t>
  </si>
  <si>
    <t>-34.5115688,-58.734505</t>
  </si>
  <si>
    <t>HTEYSF</t>
  </si>
  <si>
    <t>Nohel Coffee House</t>
  </si>
  <si>
    <t>Av. Gral. Mosconi 2602, C1419 Buenos Aires, Argentina -</t>
  </si>
  <si>
    <t>-34.5844108,-58.4988682</t>
  </si>
  <si>
    <t>HTW1E7</t>
  </si>
  <si>
    <t>Fuzion .</t>
  </si>
  <si>
    <t>3317 Leandro N. Alem -</t>
  </si>
  <si>
    <t>-38.0244825,-57.53352909999999</t>
  </si>
  <si>
    <t>HTZ13G</t>
  </si>
  <si>
    <t>El Viejo Rincon Ahumado -</t>
  </si>
  <si>
    <t>Av. Pres. Juan Domingo Peron 3280, B1635 Presidente Derqui, Argentina -</t>
  </si>
  <si>
    <t>Presidente Derqui</t>
  </si>
  <si>
    <t>-34.4762876,-58.8508154</t>
  </si>
  <si>
    <t>HTZ1WH</t>
  </si>
  <si>
    <t>Ycaban</t>
  </si>
  <si>
    <t>C. 49 796, B1900 La Plata, Argentina -</t>
  </si>
  <si>
    <t>-34.9179561,-57.9543085</t>
  </si>
  <si>
    <t>HTW0SD</t>
  </si>
  <si>
    <t>Central De Sabores - Cruce Castelar</t>
  </si>
  <si>
    <t>Av. del Libertador 7495 -</t>
  </si>
  <si>
    <t>Trujui</t>
  </si>
  <si>
    <t>-34.5849877,-58.74869899999999</t>
  </si>
  <si>
    <t>HTKQ1K</t>
  </si>
  <si>
    <t>Mimuza Pizza A La Parrilla</t>
  </si>
  <si>
    <t>Av. Rigolleau 1996, B1884 Berazategui Oeste, Argentina -</t>
  </si>
  <si>
    <t>-34.7763451,-58.23730819999999</t>
  </si>
  <si>
    <t>HTWYJP</t>
  </si>
  <si>
    <t>Naguaraezarpao</t>
  </si>
  <si>
    <t>Los Matreros 2837, B1714 JTG, Argentina -</t>
  </si>
  <si>
    <t>-34.6422423,-58.69855639999999</t>
  </si>
  <si>
    <t>HPINDV</t>
  </si>
  <si>
    <t>Oskar Bar</t>
  </si>
  <si>
    <t>Virgen de la Merced 611, T4000 San Miguel de Tucumán, Argentina -</t>
  </si>
  <si>
    <t>-26.8232438,-65.199694</t>
  </si>
  <si>
    <t>HTLT9F</t>
  </si>
  <si>
    <t>Nakama Sushi - Llavallol</t>
  </si>
  <si>
    <t>HUSARES 1073
LLAVALLOL 
1836-BUENOS AIRES -</t>
  </si>
  <si>
    <t>-34.7853935,-58.42645750000001</t>
  </si>
  <si>
    <t>HTWODU</t>
  </si>
  <si>
    <t>Mostaza  Boulevard Adrogué - Liviano</t>
  </si>
  <si>
    <t>Av. Hipólito Yrigoyen 13298, B1846ABT Adrogué, Provincia de Buenos Aires, Argentina -</t>
  </si>
  <si>
    <t>-34.8084662,-58.40067370000001</t>
  </si>
  <si>
    <t>HTZR27</t>
  </si>
  <si>
    <t>Olivari Pizza</t>
  </si>
  <si>
    <t>Sarmiento 575, B8000 Bahía Blanca, Argentina -</t>
  </si>
  <si>
    <t>-38.7118451,-62.2600868</t>
  </si>
  <si>
    <t>HTA3U3</t>
  </si>
  <si>
    <t>Po Bakery</t>
  </si>
  <si>
    <t>467 889, B1896 City Bell, Argentina -</t>
  </si>
  <si>
    <t>-34.87244,-58.0513183</t>
  </si>
  <si>
    <t>HTAUUU</t>
  </si>
  <si>
    <t>Mv Cookies - Mirasoles.</t>
  </si>
  <si>
    <t>calle roberto oglietti (sin numeración) Barrio mirasoles mza 490 B casa 5 (Cartel de PedidosYa en la puerta) -</t>
  </si>
  <si>
    <t>Los Mirasoles (El Huaico)</t>
  </si>
  <si>
    <t>-24.7259572091484,-65.4146243278904</t>
  </si>
  <si>
    <t>HTZ9TT</t>
  </si>
  <si>
    <t>Bunzo Burguer</t>
  </si>
  <si>
    <t>Garzón 1510, B1838 Luis Guillon, Argentina -</t>
  </si>
  <si>
    <t>Luis Guillón</t>
  </si>
  <si>
    <t>-34.81339415,-58.4437294</t>
  </si>
  <si>
    <t>HTALTI</t>
  </si>
  <si>
    <t>Al Paso 79</t>
  </si>
  <si>
    <t>Bartolomé Cattaneo  363</t>
  </si>
  <si>
    <t>-34.4563561,-58.78028</t>
  </si>
  <si>
    <t>HTWIT9</t>
  </si>
  <si>
    <t>Rapanui - Villa Urquiza</t>
  </si>
  <si>
    <t>HTW0OJ</t>
  </si>
  <si>
    <t>Mata Hambre.</t>
  </si>
  <si>
    <t>PRESIDENTE RAUL ALFONSIN 1601 -</t>
  </si>
  <si>
    <t>-34.7030962,-58.3765258</t>
  </si>
  <si>
    <t>HTAO4X</t>
  </si>
  <si>
    <t>Santo Pollo Callao.</t>
  </si>
  <si>
    <t>615 Av. Callao -</t>
  </si>
  <si>
    <t>-34.601818,-58.3924653</t>
  </si>
  <si>
    <t>HTA6ZM</t>
  </si>
  <si>
    <t>Mostaza Carrefour Moreno - Liviano</t>
  </si>
  <si>
    <t>Av. Gaona, Alejandro Graham Bell y, B1744 Moreno, Provincia de Buenos Aires -</t>
  </si>
  <si>
    <t>-34.6324921,-58.7629763</t>
  </si>
  <si>
    <t>HTALNZ</t>
  </si>
  <si>
    <t>La Minuteria.</t>
  </si>
  <si>
    <t>Lacroze 5463, B1650 Villa Libertad, Argentina -</t>
  </si>
  <si>
    <t>-34.578456,-58.56353899999999</t>
  </si>
  <si>
    <t>HTZTBT</t>
  </si>
  <si>
    <t>Napoli Pastas</t>
  </si>
  <si>
    <t>Juan Ramírez de Velasco 401 -</t>
  </si>
  <si>
    <t>-34.5990489,-58.43592569999999</t>
  </si>
  <si>
    <t>HTWTPA</t>
  </si>
  <si>
    <t>Greek En Dominico -</t>
  </si>
  <si>
    <t>Patagones 950, B1874EWK Villa Dominico, Provincia de Buenos Aires, Argentina 950</t>
  </si>
  <si>
    <t>-34.6882204,-58.317311</t>
  </si>
  <si>
    <t>HTAO0I</t>
  </si>
  <si>
    <t>Poke Sushi.</t>
  </si>
  <si>
    <t>JUAN B JUSTO 725 -</t>
  </si>
  <si>
    <t>-34.4633604,-58.5347094</t>
  </si>
  <si>
    <t>HTKA8W</t>
  </si>
  <si>
    <t>As De Oros</t>
  </si>
  <si>
    <t>Lisandro Moyano 772, M5539 Las Heras, Mendoza -</t>
  </si>
  <si>
    <t>-32.8590204,-68.8216339</t>
  </si>
  <si>
    <t>HTK0AU</t>
  </si>
  <si>
    <t>Puro Aai</t>
  </si>
  <si>
    <t>Brig. Juan Manuel de Rosas 1028, B1838 Luis Guillon, Argentina -</t>
  </si>
  <si>
    <t>-34.816229,-58.4453688</t>
  </si>
  <si>
    <t>HTA6GX</t>
  </si>
  <si>
    <t>Comidas Para Llevar Milagro</t>
  </si>
  <si>
    <t>Av. Edison 794 Local color lila, B7603 Mar del Plata, Argentina -</t>
  </si>
  <si>
    <t>-38.0444206,-57.55122359999999</t>
  </si>
  <si>
    <t>HTWSRQ</t>
  </si>
  <si>
    <t>Pizzería Cossanostra</t>
  </si>
  <si>
    <t>Parish Robertson 1787, 1838 Luis Guillon, Argentina -</t>
  </si>
  <si>
    <t>-34.8086913,-58.4426842</t>
  </si>
  <si>
    <t>HTZQ6R</t>
  </si>
  <si>
    <t>Kaiken Heladeria -</t>
  </si>
  <si>
    <t>Gral. Miguel Soler 462, 1714 Ituzaingó, Argentina -</t>
  </si>
  <si>
    <t>-34.6559191,-58.6693797</t>
  </si>
  <si>
    <t>HTAUAD</t>
  </si>
  <si>
    <t>Nico Pizza.</t>
  </si>
  <si>
    <t>Héroes de Malvinas 3323, B1823ASE Remedios de Escalada, Provincia de Buenos Aires -</t>
  </si>
  <si>
    <t>-34.7329537,-58.3818835</t>
  </si>
  <si>
    <t>HTZKCZ</t>
  </si>
  <si>
    <t>Burgata</t>
  </si>
  <si>
    <t>Pres. Juan Domingo Perón 830, B1631 Villa Rosa, Argentina -</t>
  </si>
  <si>
    <t>-34.4256455,-58.8666566</t>
  </si>
  <si>
    <t>HTKPM5</t>
  </si>
  <si>
    <t>Santo Pesto</t>
  </si>
  <si>
    <t>Fitz Roy 53, B8000 Bahía Blanca, Argentina -</t>
  </si>
  <si>
    <t>-38.7216348,-62.26421980000001</t>
  </si>
  <si>
    <t>HTAOYQ</t>
  </si>
  <si>
    <t>Modo Bajon</t>
  </si>
  <si>
    <t>Pje. 2 de Abril de 1982 6751, C1439 Buenos Aires, Argentina -</t>
  </si>
  <si>
    <t>-34.6784618,-58.49188999999999</t>
  </si>
  <si>
    <t>HTKG6V</t>
  </si>
  <si>
    <t>Sabores Girodetti</t>
  </si>
  <si>
    <t>Erasmo 2220, B1744 Moreno, Argentina -</t>
  </si>
  <si>
    <t>-34.6659967,-58.79278309999999</t>
  </si>
  <si>
    <t>HTLVT8</t>
  </si>
  <si>
    <t>Disfrute - Mendoza</t>
  </si>
  <si>
    <t>Roque Sáenz Peña 2105 Al lado de las canchas de Soccer Game, M5507 Mendoza, Argentina -</t>
  </si>
  <si>
    <t>-33.0322669,-68.9040187</t>
  </si>
  <si>
    <t>HTZ1GK</t>
  </si>
  <si>
    <t>Cafune Avellaneda</t>
  </si>
  <si>
    <t>Salta 380, B1872 Avellaneda, Argentina -</t>
  </si>
  <si>
    <t>-34.6809394,-58.35046370000001</t>
  </si>
  <si>
    <t>HTWSPR</t>
  </si>
  <si>
    <t>Gelatos In Dolce</t>
  </si>
  <si>
    <t>Av. José E. Uriburu 1142, B1629 Pilar, Argentina -</t>
  </si>
  <si>
    <t>-34.4541974,-58.8925644</t>
  </si>
  <si>
    <t>HTWIAH</t>
  </si>
  <si>
    <t>La Celeste Panaderia - Valle Escondido</t>
  </si>
  <si>
    <t>831 Av. Mahatma Gandhi -</t>
  </si>
  <si>
    <t>Jardines del Valle</t>
  </si>
  <si>
    <t>-31.3795862,-64.2697462</t>
  </si>
  <si>
    <t>HTZXV7</t>
  </si>
  <si>
    <t>La Flor De La Coruña</t>
  </si>
  <si>
    <t>Bacacay 1958, B1822 Gerli, Argentina -</t>
  </si>
  <si>
    <t>-34.6762069,-58.3965972</t>
  </si>
  <si>
    <t>HTWRT8</t>
  </si>
  <si>
    <t>La Piu Bella</t>
  </si>
  <si>
    <t>Matacos 3325, B1631 Villa Rosa, Argentina -</t>
  </si>
  <si>
    <t>-34.41091356916311,-58.82221019113705</t>
  </si>
  <si>
    <t>HTZ9YH</t>
  </si>
  <si>
    <t>La Farola De Elcano</t>
  </si>
  <si>
    <t>Av. Elcano 3607, C1427 Buenos Aires, Argentina -</t>
  </si>
  <si>
    <t>Villa Ortúzar</t>
  </si>
  <si>
    <t>-34.5785306,-58.4607919</t>
  </si>
  <si>
    <t>HTBPYX</t>
  </si>
  <si>
    <t>La Carmela Villa Udaondo</t>
  </si>
  <si>
    <t>De la Tradición 524, B1715 Villa Udaondo, Argentina -</t>
  </si>
  <si>
    <t>-34.6090545,-58.6890085</t>
  </si>
  <si>
    <t>HTWT5U</t>
  </si>
  <si>
    <t>Los Yayas</t>
  </si>
  <si>
    <t>Sta Fe 385, X5022 Córdoba, Argentina -</t>
  </si>
  <si>
    <t>-31.4062868,-64.2000904</t>
  </si>
  <si>
    <t>HTWICI</t>
  </si>
  <si>
    <t>Mil Antojos</t>
  </si>
  <si>
    <t>Jerónimo Luis de Cabrera 602, B1739 La Reja, Argentina -</t>
  </si>
  <si>
    <t>-34.62711609999999,-58.8355658</t>
  </si>
  <si>
    <t>HTZMD2</t>
  </si>
  <si>
    <t>Panaderia Y Confiteria La Rotonda</t>
  </si>
  <si>
    <t>Blvd. Buenos Aires 2003, B1838 Luis Guillon, Argentina -</t>
  </si>
  <si>
    <t>-34.8062169,-58.44082940000001</t>
  </si>
  <si>
    <t>HTWY5I</t>
  </si>
  <si>
    <t>Bocado - Fast Food</t>
  </si>
  <si>
    <t>Olascoaga 215, M5539 Mendoza, Argentina -</t>
  </si>
  <si>
    <t>-32.8635651,-68.8283142</t>
  </si>
  <si>
    <t>HTWFSK</t>
  </si>
  <si>
    <t>Pzz Burgues</t>
  </si>
  <si>
    <t>Saavedra 1122, C1229 Buenos Aires, Argentina -</t>
  </si>
  <si>
    <t>San Cristóbal</t>
  </si>
  <si>
    <t>-34.6226058,-58.4011763</t>
  </si>
  <si>
    <t>HTAO72</t>
  </si>
  <si>
    <t>Tequeremosfull Burguer.</t>
  </si>
  <si>
    <t>631 Viamonte -</t>
  </si>
  <si>
    <t>-34.5997939,-58.3758457</t>
  </si>
  <si>
    <t>HTE2ZD</t>
  </si>
  <si>
    <t>San Fran - Hamburguesas</t>
  </si>
  <si>
    <t>Rivadavia 1933, B1841 Monte Grande, Argentina -</t>
  </si>
  <si>
    <t>-34.8310088,-58.4497435</t>
  </si>
  <si>
    <t>HTZ1F6</t>
  </si>
  <si>
    <t>Alta Pinta Pizzas Y Empanadas</t>
  </si>
  <si>
    <t>Cnel. Apolinario Figueroa 67, C1414 Cdad. Autónoma de Buenos Aires -</t>
  </si>
  <si>
    <t>-34.602478,-58.4431009</t>
  </si>
  <si>
    <t>HTZQ99</t>
  </si>
  <si>
    <t>Viva La Mila - V. Allende</t>
  </si>
  <si>
    <t>Av. Agrim Enrique Bodereau 1866, Villa Allende, Córdoba, Argentina -</t>
  </si>
  <si>
    <t>-31.3045467,-64.2882698</t>
  </si>
  <si>
    <t>HTAM3E</t>
  </si>
  <si>
    <t>Sabore - Comida Casera</t>
  </si>
  <si>
    <t>Ricardo Nassi 147 -</t>
  </si>
  <si>
    <t>-31.32716027361936,-64.24344479636459</t>
  </si>
  <si>
    <t>HTWOF2</t>
  </si>
  <si>
    <t>Palto Fuegos</t>
  </si>
  <si>
    <t>Av. Int. Jorge Ruben Varela 672, C2804 Campana, Argentina -</t>
  </si>
  <si>
    <t>-34.1693794,-58.95961085</t>
  </si>
  <si>
    <t>HTAO3Q</t>
  </si>
  <si>
    <t>Las Pastas Xl</t>
  </si>
  <si>
    <t>Int. Pedro Oliveri 3878, B1879 Quilmes, Provincia de Buenos Aires, Argentina -</t>
  </si>
  <si>
    <t>HTZGHH</t>
  </si>
  <si>
    <t>Kutsi Sandwich</t>
  </si>
  <si>
    <t>Francisco N de Laprida 50, X5000 Córdoba, Argentina -</t>
  </si>
  <si>
    <t>-31.4240719,-64.1880378</t>
  </si>
  <si>
    <t>4M7C78</t>
  </si>
  <si>
    <t>Punto 33 - Ciudad</t>
  </si>
  <si>
    <t>J Agustin Maza 698 -</t>
  </si>
  <si>
    <t>-32.8782345,-68.84524549999999</t>
  </si>
  <si>
    <t>HTABPB</t>
  </si>
  <si>
    <t>Milapar</t>
  </si>
  <si>
    <t>Gral. Bartolomé Mitre 751 ESPERAR A QUE ESTE LISTO PARA RETIRAR Y BAJAMOS CUALQUIER CONSULTA 1161434909, B1708 Morón, Argentina -</t>
  </si>
  <si>
    <t>-34.6528366,-58.61927469999999</t>
  </si>
  <si>
    <t>4MCU0B</t>
  </si>
  <si>
    <t>Taller De Pastas Frescas L´ Artisan - Tres Arroyos</t>
  </si>
  <si>
    <t>tres arroyos 1902 CABA -</t>
  </si>
  <si>
    <t>-34.6111396,-58.4644516</t>
  </si>
  <si>
    <t>HPBHNV</t>
  </si>
  <si>
    <t>Comidas De Judith</t>
  </si>
  <si>
    <t>Las Azucenas 3581, B1664 Manuel Alberti, Provincia de Buenos Aires, Argentina -</t>
  </si>
  <si>
    <t>-34.4343,-58.7918</t>
  </si>
  <si>
    <t>HTZMKU</t>
  </si>
  <si>
    <t>Donata</t>
  </si>
  <si>
    <t>Av. Calchaquí 2539, B1879 Quilmes, Argentina -</t>
  </si>
  <si>
    <t>-34.7502958,-58.2862461</t>
  </si>
  <si>
    <t>HTAWUO</t>
  </si>
  <si>
    <t>Olimpo Burguer</t>
  </si>
  <si>
    <t>Avenida Pedro Dreyer 875 Entre Farina y Almirante Brown. (Pin mal colocado), B1842 Monte Grande, Argentina -</t>
  </si>
  <si>
    <t>-34.83600177544241,-58.46767185645292</t>
  </si>
  <si>
    <t>HTWQIP</t>
  </si>
  <si>
    <t>Experiencia Vinito</t>
  </si>
  <si>
    <t>Mármol 3250, B1655 Villa José León Suárez, Argentina -</t>
  </si>
  <si>
    <t>-34.5426311,-58.57385559999999</t>
  </si>
  <si>
    <t>HPQE6T</t>
  </si>
  <si>
    <t>Lucciano's Barrio Norte</t>
  </si>
  <si>
    <t>Av. Sta. Fe 1501, Ciudad Autónoma de Buenos Aires, Argentina -</t>
  </si>
  <si>
    <t>-34.595583,-58.3885357</t>
  </si>
  <si>
    <t>4M7C73</t>
  </si>
  <si>
    <t>Punto 33 - Guaymallen</t>
  </si>
  <si>
    <t>Houssay 296 -</t>
  </si>
  <si>
    <t>-32.90520096,-68.80020142</t>
  </si>
  <si>
    <t>HTDONF</t>
  </si>
  <si>
    <t>Tacc Free.</t>
  </si>
  <si>
    <t>Los Gorriones 900 -porton grande Blanco</t>
  </si>
  <si>
    <t>-34.4498965,-58.9269384</t>
  </si>
  <si>
    <t>HTWIRN</t>
  </si>
  <si>
    <t>Tenés Pasta</t>
  </si>
  <si>
    <t>Undiano 1058, B8000 Bahía Blanca, Argentina -</t>
  </si>
  <si>
    <t>-38.7336916,-62.27226839999999</t>
  </si>
  <si>
    <t>HTHRE2</t>
  </si>
  <si>
    <t>Maru Rodriguez</t>
  </si>
  <si>
    <t>De los Extremeños 5491, X5021 Córdoba, Argentina -</t>
  </si>
  <si>
    <t>-31.3471067,-64.2395523</t>
  </si>
  <si>
    <t>HTWZ1L</t>
  </si>
  <si>
    <t>El Chalett Pizzas</t>
  </si>
  <si>
    <t>Primera Junta 31, B1768 Ciudad Madero, Argentina -</t>
  </si>
  <si>
    <t>Ciudad Madero</t>
  </si>
  <si>
    <t>-34.69662,-58.50761</t>
  </si>
  <si>
    <t>HTKQXL</t>
  </si>
  <si>
    <t>Central De Pizzas Y Empanadas - Microcentro 5</t>
  </si>
  <si>
    <t>Lavalle 1540, C1048AAL Cdad. Autónoma de Buenos Aires, Argentina -</t>
  </si>
  <si>
    <t>-34.6028322,-58.3884626</t>
  </si>
  <si>
    <t>HTKPE4</t>
  </si>
  <si>
    <t>Hey Muzza Villa Devoto 8</t>
  </si>
  <si>
    <t>Joaquín V. González 3913, C1419AXK C1419AXK, Cdad. Autónoma de Buenos Aires -</t>
  </si>
  <si>
    <t>-34.59923074513297,-58.50888150842894</t>
  </si>
  <si>
    <t>HTZ182</t>
  </si>
  <si>
    <t>El Mordisco Ideal</t>
  </si>
  <si>
    <t>Rivadavia 4336 Casa gris con rejas negras, B1650 San Martín, Argentina -</t>
  </si>
  <si>
    <t>-34.5781684,-58.54593669999999</t>
  </si>
  <si>
    <t>HT6Q9F</t>
  </si>
  <si>
    <t>La Pancheta</t>
  </si>
  <si>
    <t>Dr. Travi 1146, B1625DXH Belén de Escobar, Provincia de Buenos Aires, Argentina -</t>
  </si>
  <si>
    <t>-34.3529369,-58.7964335</t>
  </si>
  <si>
    <t>HTLUK6</t>
  </si>
  <si>
    <t>Origen - Coffee House</t>
  </si>
  <si>
    <t>Montevideo 426, Buenos Aires, Argentina -</t>
  </si>
  <si>
    <t>-34.6039861,-58.38957789999999</t>
  </si>
  <si>
    <t>HTAW0Q</t>
  </si>
  <si>
    <t>Area623 Pizzas Y Empanadas</t>
  </si>
  <si>
    <t>Pasco 625, C1219 Buenos Aires, Argentina -</t>
  </si>
  <si>
    <t>-34.61652,-58.3978496</t>
  </si>
  <si>
    <t>HTZQ2Y</t>
  </si>
  <si>
    <t>Mr Tasty - Medrano</t>
  </si>
  <si>
    <t>Av. Medrano 130, C1179AAB Cdad. Autónoma de Buenos Aires -</t>
  </si>
  <si>
    <t>-34.6093935,-58.4215426</t>
  </si>
  <si>
    <t>HTWFTU</t>
  </si>
  <si>
    <t>La Sangucheria De La Tucu .</t>
  </si>
  <si>
    <t>Av. Pres. Juan Domingo Perón 24998, B1722 Merlo, Argentina -</t>
  </si>
  <si>
    <t>-34.6663542,-58.7178767</t>
  </si>
  <si>
    <t>HTW1DY</t>
  </si>
  <si>
    <t>Alta Pinta 173</t>
  </si>
  <si>
    <t>Av. Juan Domingo Perón 815, X5152 Villa Carlos Paz, Argentina -</t>
  </si>
  <si>
    <t>-31.4348388,-64.5004316</t>
  </si>
  <si>
    <t>HTAKCZ</t>
  </si>
  <si>
    <t>Pizza Roma - La Calera</t>
  </si>
  <si>
    <t>Av. los Alamos 453, X5008 La Calera, Argentina -</t>
  </si>
  <si>
    <t>Cuesta Colorada</t>
  </si>
  <si>
    <t>-31.357415,-64.3102617</t>
  </si>
  <si>
    <t>HTAOSK</t>
  </si>
  <si>
    <t>Okis Pasteleria</t>
  </si>
  <si>
    <t>Vicente López 1761, B1663 San Miguel, Argentina -</t>
  </si>
  <si>
    <t>-34.5338877,-58.7073309</t>
  </si>
  <si>
    <t>HTK122</t>
  </si>
  <si>
    <t>Pampa Burger - San Miguel</t>
  </si>
  <si>
    <t>3988 Av. Int. Remigio López -</t>
  </si>
  <si>
    <t>-34.548885,-58.7630971</t>
  </si>
  <si>
    <t>HTA0JE</t>
  </si>
  <si>
    <t>Hey Muzza Villa Crespo 8</t>
  </si>
  <si>
    <t>Av. Corrientes 5082, C1414AJQ Cdad. Autónoma de Buenos Aires -</t>
  </si>
  <si>
    <t>-34.600442,-58.43743300000001</t>
  </si>
  <si>
    <t>HTAOM9</t>
  </si>
  <si>
    <t>Altos Panas</t>
  </si>
  <si>
    <t>calle15 n 711 (ACLARACIONES  timbre 1 pb) -</t>
  </si>
  <si>
    <t>-34.920046,-57.9612258</t>
  </si>
  <si>
    <t>HTW05T</t>
  </si>
  <si>
    <t>Lo De Francia</t>
  </si>
  <si>
    <t>Luis Pereyra 635 Casa rejas negras, B1648 Tigre, Argentina -</t>
  </si>
  <si>
    <t>-34.4297573,-58.5746517</t>
  </si>
  <si>
    <t>HTWQ8J</t>
  </si>
  <si>
    <t>Doña Narda Panaderia</t>
  </si>
  <si>
    <t>Av. Colón 1602, X5000 Córdoba, Argentina -</t>
  </si>
  <si>
    <t>-31.4071125,-64.20473849999999</t>
  </si>
  <si>
    <t>HTZLIY</t>
  </si>
  <si>
    <t>Terribles Burgers</t>
  </si>
  <si>
    <t>Maximo Zamudio 6076, B1757 Gregorio de Laferrere, Argentina -</t>
  </si>
  <si>
    <t>-34.7459152,-58.5819474</t>
  </si>
  <si>
    <t>HTWU4W</t>
  </si>
  <si>
    <t>Plan B (de Bajón)</t>
  </si>
  <si>
    <t>Florida 7174, B1669 Del Viso, Argentina -</t>
  </si>
  <si>
    <t>-34.454045,-58.80210809999999</t>
  </si>
  <si>
    <t>HTZC9I</t>
  </si>
  <si>
    <t>La Negrita Pizzas</t>
  </si>
  <si>
    <t>PTE RIVADAVIA 102
JOSE CLEMENTE PAZ 
1665-BUENOS AIRES -</t>
  </si>
  <si>
    <t>-34.5175537,-58.75151959999999</t>
  </si>
  <si>
    <t>HTZXW0</t>
  </si>
  <si>
    <t>En Boca De Todos - Mar Del Plata</t>
  </si>
  <si>
    <t>Genova 5385, B7600 Mar del Plata, Argentina -</t>
  </si>
  <si>
    <t>General San Martin</t>
  </si>
  <si>
    <t>-38.0427223,-57.58112939999999</t>
  </si>
  <si>
    <t>HTZ1Y1</t>
  </si>
  <si>
    <t>Ghanima Sushi Rd</t>
  </si>
  <si>
    <t>México 1952, C1222 Buenos Aires, Argentina -</t>
  </si>
  <si>
    <t>-34.6159006,-58.3938737</t>
  </si>
  <si>
    <t>HTZJ9B</t>
  </si>
  <si>
    <t>Acai Brasil - Libertador</t>
  </si>
  <si>
    <t>Av. del Libertador 2459, B1636DSE Olivos, Provincia de Buenos Aires -</t>
  </si>
  <si>
    <t>-34.50752695233685,-58.47967124973756</t>
  </si>
  <si>
    <t>HTAKMD</t>
  </si>
  <si>
    <t>Teque Vaina</t>
  </si>
  <si>
    <t>San José 1330, Cdad. Autónoma de Buenos Aires, Argentina -</t>
  </si>
  <si>
    <t>-34.6239359,-58.3856722</t>
  </si>
  <si>
    <t>HTW0BE</t>
  </si>
  <si>
    <t>El Club Del Wrap - Av. Sagrada Familia</t>
  </si>
  <si>
    <t>Av. Sagrada Familia 447, X5003 Córdoba, Argentina -</t>
  </si>
  <si>
    <t>Villa Alberdi</t>
  </si>
  <si>
    <t>-31.3952122,-64.2354817</t>
  </si>
  <si>
    <t>HTA0YC</t>
  </si>
  <si>
    <t>Big Pizza Villa Crespo 8 827</t>
  </si>
  <si>
    <t>HTW109</t>
  </si>
  <si>
    <t>Chunk</t>
  </si>
  <si>
    <t>Monseñor Larumbe 864, B1640 Martínez, Argentina -</t>
  </si>
  <si>
    <t>-34.4929503,-58.51142530000001</t>
  </si>
  <si>
    <t>HTZ6QW</t>
  </si>
  <si>
    <t>Cara Napoli</t>
  </si>
  <si>
    <t>Av. S. Martín 3999, C1417DRB Cdad. Autónoma de Buenos Aires -</t>
  </si>
  <si>
    <t>-34.5995069,-58.47857200000001</t>
  </si>
  <si>
    <t>HTZLF2</t>
  </si>
  <si>
    <t>Mi Pan Virreyes</t>
  </si>
  <si>
    <t>1916 Av. Avellaneda -</t>
  </si>
  <si>
    <t>-34.4520572,-58.5547234</t>
  </si>
  <si>
    <t>HTWSPK</t>
  </si>
  <si>
    <t>Don Cook</t>
  </si>
  <si>
    <t>los fresnos 0, 1625 Loma Verde, Argentina -</t>
  </si>
  <si>
    <t>-34.3293187,-58.83929490000001</t>
  </si>
  <si>
    <t>HTWUWE</t>
  </si>
  <si>
    <t>Siete De Junio</t>
  </si>
  <si>
    <t>Av. Julio Argentino Roca 763 Entre Garcia Fernández y Castro Chaves, pino grande en la puerta, B1842 Monte Grande, Argentina -</t>
  </si>
  <si>
    <t>-34.8126739,-58.48458960000001</t>
  </si>
  <si>
    <t>HTWQBD</t>
  </si>
  <si>
    <t>Yomo  Helados - Suc.  Paraguay</t>
  </si>
  <si>
    <t>1537 Paraguay -</t>
  </si>
  <si>
    <t>-32.954397,-60.64589929999999</t>
  </si>
  <si>
    <t>HTKP38</t>
  </si>
  <si>
    <t>Big Pizza  Villa Devoto 8</t>
  </si>
  <si>
    <t>-34.59926607063324,-58.50882786424864</t>
  </si>
  <si>
    <t>HPFN9V</t>
  </si>
  <si>
    <t>El Buen Churro</t>
  </si>
  <si>
    <t>Pueyrredon 594, 4400 Salta, Argentina -</t>
  </si>
  <si>
    <t>-24.7829707,-65.4061641</t>
  </si>
  <si>
    <t>HTWY37</t>
  </si>
  <si>
    <t>Mundo Crepes</t>
  </si>
  <si>
    <t>Av. Colón 559, B8000 Bahía Blanca, Argentina -</t>
  </si>
  <si>
    <t>-38.7239462,-62.2734429</t>
  </si>
  <si>
    <t>HTWYBS</t>
  </si>
  <si>
    <t>Antojáte Mendoza</t>
  </si>
  <si>
    <t>Picanta Kumec 702 Barrio Rincón de Vistalba M12 C10, M5507 Mendoza, Argentina -</t>
  </si>
  <si>
    <t>-33.03918260441687,-68.92527348830852</t>
  </si>
  <si>
    <t>HTZHKZ</t>
  </si>
  <si>
    <t>Dolce Jazmine</t>
  </si>
  <si>
    <t>Ing. Marconi 3851, B1643 Béccar, Argentina -</t>
  </si>
  <si>
    <t>-34.4780104,-58.56781</t>
  </si>
  <si>
    <t>HTAU2M</t>
  </si>
  <si>
    <t>Minidonas Castelar</t>
  </si>
  <si>
    <t>Leandro N. Alem 2205, B1712 Castelar, Argentina -</t>
  </si>
  <si>
    <t>-34.6431008,-58.63836719999999</t>
  </si>
  <si>
    <t>HTZIXY</t>
  </si>
  <si>
    <t>La Pancheria De Morón</t>
  </si>
  <si>
    <t>25 de Mayo 392, B1708 Morón, Argentina -</t>
  </si>
  <si>
    <t>-34.6527452,-58.6196179</t>
  </si>
  <si>
    <t>HTWI5L</t>
  </si>
  <si>
    <t>Tbt Godoy Cruz</t>
  </si>
  <si>
    <t>Antonio Tomba 30, M5504 Godoy Cruz, Mendoza -</t>
  </si>
  <si>
    <t>-32.92457515082845,-68.8434625468048</t>
  </si>
  <si>
    <t>HTAJ96</t>
  </si>
  <si>
    <t>Mi Sueño 861</t>
  </si>
  <si>
    <t>Gral. Viamonte 2485, B1712 Castelar, Argentina -</t>
  </si>
  <si>
    <t>-34.6332981,-58.6407645</t>
  </si>
  <si>
    <t>HTWFY2</t>
  </si>
  <si>
    <t>Bogusz Cuchareables</t>
  </si>
  <si>
    <t>Vicente López 4518, B1665 José C. Paz, Argentina -</t>
  </si>
  <si>
    <t>-34.5130084,-58.7348569</t>
  </si>
  <si>
    <t>HTZKAS</t>
  </si>
  <si>
    <t>Bocacha</t>
  </si>
  <si>
    <t>Gral. José de San Martín 119, B1708 IHA, Provincia de Buenos Aires -</t>
  </si>
  <si>
    <t>-34.6494606,-58.6228479</t>
  </si>
  <si>
    <t>HTKZN0</t>
  </si>
  <si>
    <t>Empa-market 633</t>
  </si>
  <si>
    <t>Bernardo de mobteagudo 2, B1888 Florencio Varela, Argentina -</t>
  </si>
  <si>
    <t>-34.8107,-58.27439999999999</t>
  </si>
  <si>
    <t>HTHQ8U</t>
  </si>
  <si>
    <t>Mr Tasty - Ezeiza</t>
  </si>
  <si>
    <t>Paso de La Patria 324, Ezeiza, Provincia de Buenos Aires, CP 1904 -</t>
  </si>
  <si>
    <t>-34.8556029,-58.52203799999999</t>
  </si>
  <si>
    <t>HTWR5U</t>
  </si>
  <si>
    <t>Nos Volvimos Loco</t>
  </si>
  <si>
    <t>Cornelio Saavedra 2460, B1645 Virreyes, Argentina -</t>
  </si>
  <si>
    <t>-34.4652937,-58.57510250000001</t>
  </si>
  <si>
    <t>HTWSE8</t>
  </si>
  <si>
    <t>Panaderia San Cayetano Escobar</t>
  </si>
  <si>
    <t>Las Orquideas 1526, B1625 Belén de Escobar, Argentina -</t>
  </si>
  <si>
    <t>-34.3556465,-58.81414520000001</t>
  </si>
  <si>
    <t>HTGW1L</t>
  </si>
  <si>
    <t>Rokku Sushi</t>
  </si>
  <si>
    <t>Mitre 1344, M5505 Mendoza, Argentina -</t>
  </si>
  <si>
    <t>-32.9870335,-68.8839309</t>
  </si>
  <si>
    <t>HTWYNM</t>
  </si>
  <si>
    <t>Pizzeria San Jorge - Villa Madero</t>
  </si>
  <si>
    <t>Cnel. Domínguez 399, B1738 Villa Madero, Argentina -</t>
  </si>
  <si>
    <t>-34.6810985,-58.5062229</t>
  </si>
  <si>
    <t>HTA3JJ</t>
  </si>
  <si>
    <t>La Celeste Panaderia - San Carlos</t>
  </si>
  <si>
    <t>5671 Bernardo O'Higgins -</t>
  </si>
  <si>
    <t>Country Greenville</t>
  </si>
  <si>
    <t>-31.4793657,-64.1684349</t>
  </si>
  <si>
    <t>HTWIIF</t>
  </si>
  <si>
    <t>Freddo La Plata</t>
  </si>
  <si>
    <t>Av. 1 1100, La Plata, Provincia de Buenos Aire, -</t>
  </si>
  <si>
    <t>-34.9114347,-57.9396962</t>
  </si>
  <si>
    <t>HTHQ6X</t>
  </si>
  <si>
    <t>Mila &amp; Go - Ezeiza</t>
  </si>
  <si>
    <t>HTZQGK</t>
  </si>
  <si>
    <t>Pizzas Doña Mica.</t>
  </si>
  <si>
    <t>José León Suárez 3056 casa de dos pisos, B1613 Los Polvorines, Argentina -</t>
  </si>
  <si>
    <t>-34.51362930000001,-58.7081352</t>
  </si>
  <si>
    <t>HTZ16Z</t>
  </si>
  <si>
    <t>Sushi Friends</t>
  </si>
  <si>
    <t>Tacuarí 1452, B1824 Lanús, Argentina -</t>
  </si>
  <si>
    <t>-34.6942931,-58.4086078</t>
  </si>
  <si>
    <t>HTLD2O</t>
  </si>
  <si>
    <t>Antojos Express Comidas</t>
  </si>
  <si>
    <t>PASAJE ALBERRO 1554 Piso:2 Dpto:13 - BARRIO : ALBERDI ALTO -</t>
  </si>
  <si>
    <t>Paso de los Andes</t>
  </si>
  <si>
    <t>-31.413193,-64.20558199999999</t>
  </si>
  <si>
    <t>HTZJI9</t>
  </si>
  <si>
    <t>El Español Restaurante</t>
  </si>
  <si>
    <t>Rincón 196, C1089 Buenos Aires, Argentina -</t>
  </si>
  <si>
    <t>-34.6116119,-58.3959817</t>
  </si>
  <si>
    <t>HTEUKE</t>
  </si>
  <si>
    <t>Che Muzza - Tapiales</t>
  </si>
  <si>
    <t>Tuyutí 1433, B1770AWK Tapiales, Provincia de Buenos Aires, Argentina -</t>
  </si>
  <si>
    <t>-34.6995669,-58.507714</t>
  </si>
  <si>
    <t>HTAL4P</t>
  </si>
  <si>
    <t>Punto Justo Comidas</t>
  </si>
  <si>
    <t>Av. Crovara 2499 -</t>
  </si>
  <si>
    <t>-34.6879498,-58.5227054</t>
  </si>
  <si>
    <t>HTZICT</t>
  </si>
  <si>
    <t>La Providencia - Mar Del Plata</t>
  </si>
  <si>
    <t>Avellaneda 1356, B7602 Mar del Plata, Argentina -</t>
  </si>
  <si>
    <t>-38.0170319,-57.5435321</t>
  </si>
  <si>
    <t>HTZINV</t>
  </si>
  <si>
    <t>Salad&amp;co - Av Belgrano -</t>
  </si>
  <si>
    <t>Av. Belgrano 1637, C1093 Buenos Aires, Argentina -</t>
  </si>
  <si>
    <t>-34.6134314,-58.38949460000001</t>
  </si>
  <si>
    <t>HTWN16</t>
  </si>
  <si>
    <t>En Familia Parrilla, Minutas Y Mas</t>
  </si>
  <si>
    <t>Alem 881 -</t>
  </si>
  <si>
    <t>-34.8233416,-58.4630785</t>
  </si>
  <si>
    <t>4MMTI8</t>
  </si>
  <si>
    <t>Guiri Della Pizza</t>
  </si>
  <si>
    <t>Julián Álvarez 110 -</t>
  </si>
  <si>
    <t>-34.6027689,-58.4395895</t>
  </si>
  <si>
    <t>HTZ6OZ</t>
  </si>
  <si>
    <t>Verona Sandwiches</t>
  </si>
  <si>
    <t>C. 59 465, B1900BSS La Plata, Provincia de Buenos Aires, Argentina -</t>
  </si>
  <si>
    <t>-34.9174012,-57.9401428</t>
  </si>
  <si>
    <t>HTWO8K</t>
  </si>
  <si>
    <t>Dt Drinks</t>
  </si>
  <si>
    <t>Chacabuco 3272, B1611 Don Torcuato, Argentina -</t>
  </si>
  <si>
    <t>-34.4889839,-58.6108854</t>
  </si>
  <si>
    <t>HTKP71</t>
  </si>
  <si>
    <t>La Farola De Ramallo</t>
  </si>
  <si>
    <t>Ramallo 2390, C1429 Buenos Aires, Argentina -</t>
  </si>
  <si>
    <t>-34.5429788,-58.4723571</t>
  </si>
  <si>
    <t>HTZ2DS</t>
  </si>
  <si>
    <t>El Santiagueño - Córdoba</t>
  </si>
  <si>
    <t>Ambrosio Funes 2907, X5000 Córdoba, Argentina -</t>
  </si>
  <si>
    <t>Marcos Sastre</t>
  </si>
  <si>
    <t>-31.4455625,-64.1499219</t>
  </si>
  <si>
    <t>HTZ7M5</t>
  </si>
  <si>
    <t>Chily's Pastelería &amp; Café</t>
  </si>
  <si>
    <t>Combate de San Lorenzo 2239, T4000 San Miguel de Tucumán, Argentina -</t>
  </si>
  <si>
    <t>-26.8277184,-65.23195439999999</t>
  </si>
  <si>
    <t>HPFW9B</t>
  </si>
  <si>
    <t>Nsi Msa Pasteleria</t>
  </si>
  <si>
    <t>Bouchard 245, Moreno -</t>
  </si>
  <si>
    <t>-34.6485637,-58.7849477</t>
  </si>
  <si>
    <t>HTAUZY</t>
  </si>
  <si>
    <t>Proteikoo</t>
  </si>
  <si>
    <t>Av. Álvarez Thomas 847, C1426 Buenos Aires, Argentina -</t>
  </si>
  <si>
    <t>-34.5792102,-58.4537896</t>
  </si>
  <si>
    <t>HTKT4F</t>
  </si>
  <si>
    <t>El Asturiano - Picadas Premium</t>
  </si>
  <si>
    <t>Av. de Mayo 1155, B1607 Villa Adelina, Argentina -</t>
  </si>
  <si>
    <t>-34.5187515,-58.54403000000001</t>
  </si>
  <si>
    <t>HTWYOL</t>
  </si>
  <si>
    <t>Las Medialunas Del Abuelo - San Cristóbal</t>
  </si>
  <si>
    <t>Estados Unidos 3001 -</t>
  </si>
  <si>
    <t>-34.620784,-58.40773389999999</t>
  </si>
  <si>
    <t>HTAUUV</t>
  </si>
  <si>
    <t>Moralba</t>
  </si>
  <si>
    <t>Ayacucho 252, A4400 Salta, Argentina -</t>
  </si>
  <si>
    <t>Campo Caseros</t>
  </si>
  <si>
    <t>-24.791584,-65.4294037</t>
  </si>
  <si>
    <t>HTZ9QO</t>
  </si>
  <si>
    <t>Mercado Almazen 237</t>
  </si>
  <si>
    <t>José Ignacio Rucci 1503, B1822 Valentín Alsina, Argentina -</t>
  </si>
  <si>
    <t>-34.6789455,-58.41366979999999</t>
  </si>
  <si>
    <t>4M07RB</t>
  </si>
  <si>
    <t>Carniceria De Carolis - Coronel Moldes</t>
  </si>
  <si>
    <t>Moldes 20.  Local 3 Placita -</t>
  </si>
  <si>
    <t>-32.87704019072036,-68.84739731811418</t>
  </si>
  <si>
    <t>HTZ775</t>
  </si>
  <si>
    <t>Pecado Burger -</t>
  </si>
  <si>
    <t>Liniers 523, Campana, Provincia de Buenos Aires, Argentina -</t>
  </si>
  <si>
    <t>-34.1787905,-58.954337</t>
  </si>
  <si>
    <t>HTHLVK</t>
  </si>
  <si>
    <t>Aroma De Pan - Tucumán</t>
  </si>
  <si>
    <t>Gral. José de San Martín 1502, T4107 Yerba Buena, Tucumán -</t>
  </si>
  <si>
    <t>-26.8302859,-65.2945051</t>
  </si>
  <si>
    <t>HTD5K2</t>
  </si>
  <si>
    <t>Boniato Alimentos</t>
  </si>
  <si>
    <t>Diag. Ica 17, X5001 Córdoba, Argentina -</t>
  </si>
  <si>
    <t>-31.3896654,-64.1751718</t>
  </si>
  <si>
    <t>HTZQ3Q</t>
  </si>
  <si>
    <t>Rotiseria R15</t>
  </si>
  <si>
    <t>C. 15 1658, B1904 La Plata, Argentina -</t>
  </si>
  <si>
    <t>-34.93360805,-57.9427527</t>
  </si>
  <si>
    <t>HAAYR0</t>
  </si>
  <si>
    <t>Don Felipe 330</t>
  </si>
  <si>
    <t>Córdoba 1281 -</t>
  </si>
  <si>
    <t>-34.3871937,-58.7371519</t>
  </si>
  <si>
    <t>HTECU8</t>
  </si>
  <si>
    <t>La Esquinita.</t>
  </si>
  <si>
    <t>Jaramillo 4000, C1430 Buenos Aires, Argentina -</t>
  </si>
  <si>
    <t>-34.5556569,-58.4831656</t>
  </si>
  <si>
    <t>HTA6Z7</t>
  </si>
  <si>
    <t>Pato´s - Benavídez</t>
  </si>
  <si>
    <t>Tucumán 3195, B1621 Benavídez, Argentina -</t>
  </si>
  <si>
    <t>-34.41035,-58.69308</t>
  </si>
  <si>
    <t>HTK8PP</t>
  </si>
  <si>
    <t>Buffet Pcc</t>
  </si>
  <si>
    <t>Av. Libertad 5401 Los retiros de la cadetería son por la parte trasera del club en Irupe 5488, S2132 Santa Fe, Argentina -</t>
  </si>
  <si>
    <t>-32.9166236,-60.8559481</t>
  </si>
  <si>
    <t>HTAB8B</t>
  </si>
  <si>
    <t>Empanadas Lila</t>
  </si>
  <si>
    <t>Pergamino 1162, M5504 Mendoza, Argentina -</t>
  </si>
  <si>
    <t>-32.9151033,-68.87998569999999</t>
  </si>
  <si>
    <t>HTKL2G</t>
  </si>
  <si>
    <t>Pandream.</t>
  </si>
  <si>
    <t>Morón 2976, C1406 Buenos Aires, Argentina -</t>
  </si>
  <si>
    <t>-34.6245972,-58.47381579999999</t>
  </si>
  <si>
    <t>HTW0PW</t>
  </si>
  <si>
    <t>Hot Dog Sur - Lanus</t>
  </si>
  <si>
    <t>Ituizango 1573 -</t>
  </si>
  <si>
    <t>-34.7102077,-58.3853254</t>
  </si>
  <si>
    <t>HTKWSB</t>
  </si>
  <si>
    <t>Tequedeli Comida Venezolana - Lomas.</t>
  </si>
  <si>
    <t>9611 Av. Hipólito Yrigoyen -</t>
  </si>
  <si>
    <t>-34.7677157,-58.40428310000001</t>
  </si>
  <si>
    <t>HTL0QG</t>
  </si>
  <si>
    <t>Freddo -  Canning</t>
  </si>
  <si>
    <t>Mariano Castex 1560, B1842 Canning, Provincia de Buenos Aires, Argentina (local 4) -</t>
  </si>
  <si>
    <t>-34.86301,-58.50209875</t>
  </si>
  <si>
    <t>HTA30P</t>
  </si>
  <si>
    <t>La Caribeña - Pilar</t>
  </si>
  <si>
    <t>Silvio Braschi 542 Entre nazarre y tomas marquez, B1629 Pilar, Argentina -</t>
  </si>
  <si>
    <t>-34.4634688,-58.9114782</t>
  </si>
  <si>
    <t>HTZHT3</t>
  </si>
  <si>
    <t>Don Maximo - Pilar</t>
  </si>
  <si>
    <t>José Valentín Gómez 7690, B1669 Del Viso, Argentina -</t>
  </si>
  <si>
    <t>-34.4488023,-58.8037883</t>
  </si>
  <si>
    <t>HTWSKU</t>
  </si>
  <si>
    <t>El Buffet .</t>
  </si>
  <si>
    <t>Francisco Bourel 803 -</t>
  </si>
  <si>
    <t>-34.560406,-58.6766902</t>
  </si>
  <si>
    <t>HTZOEV</t>
  </si>
  <si>
    <t>Deli Pasteleria .</t>
  </si>
  <si>
    <t>Francia 1834, B1618DZH El Talar, Provincia de Buenos Aires -</t>
  </si>
  <si>
    <t>-34.4636262,-58.6626457</t>
  </si>
  <si>
    <t>HTA0SI</t>
  </si>
  <si>
    <t>Chipas Rafaela</t>
  </si>
  <si>
    <t>Constitución 1485, S2300 Rafaela, Argentina -</t>
  </si>
  <si>
    <t>-31.2676153,-61.48793449999999</t>
  </si>
  <si>
    <t>HTWJL3</t>
  </si>
  <si>
    <t>Yo Heladerías Barrio Norte 653</t>
  </si>
  <si>
    <t>Av. Nicolás Avellaneda 551, T4000 San Miguel de Tucumán, Argentina -</t>
  </si>
  <si>
    <t>-26.8247512,-65.1950447</t>
  </si>
  <si>
    <t>HTWU68</t>
  </si>
  <si>
    <t>Mitico Barrio</t>
  </si>
  <si>
    <t>801 Mendoza -</t>
  </si>
  <si>
    <t>-32.9523357,-60.6354572</t>
  </si>
  <si>
    <t>4MMTIZ</t>
  </si>
  <si>
    <t>Guiri Mila.</t>
  </si>
  <si>
    <t>HTHG1K</t>
  </si>
  <si>
    <t>24 Street Abasto.</t>
  </si>
  <si>
    <t>1561 Gral. José María Paz -</t>
  </si>
  <si>
    <t>-26.8328527,-65.2221761</t>
  </si>
  <si>
    <t>HTWI23</t>
  </si>
  <si>
    <t>Casa Grimi</t>
  </si>
  <si>
    <t>Aguapey 2257, B1755 Rafael Castillo, Argentina -</t>
  </si>
  <si>
    <t>-34.71783740000001,-58.6110183</t>
  </si>
  <si>
    <t>HTZZM7</t>
  </si>
  <si>
    <t>Georgies</t>
  </si>
  <si>
    <t>Charlone 499, C1427 Buenos Aires, Argentina -</t>
  </si>
  <si>
    <t>Chacarita</t>
  </si>
  <si>
    <t>-34.582894,-58.450978</t>
  </si>
  <si>
    <t>HTK8UD</t>
  </si>
  <si>
    <t>Freddo - Recoleta Mall</t>
  </si>
  <si>
    <t>Vicente López 2008 (piso 3 Local 311) , C1128ACF Cdad. Autónoma de Buenos Aires, Argentina -</t>
  </si>
  <si>
    <t>-34.5894293,-58.3934255</t>
  </si>
  <si>
    <t>HP5W32</t>
  </si>
  <si>
    <t>Vladi.burger</t>
  </si>
  <si>
    <t>Cnel. Bogado 2410, B1602 Florida, Argentina -</t>
  </si>
  <si>
    <t>-34.5425643,-58.4875114</t>
  </si>
  <si>
    <t>HTWZ81</t>
  </si>
  <si>
    <t>Km0</t>
  </si>
  <si>
    <t>Avenida Juan B. Justo 9234, C1408 Buenos Aires, Argentina -</t>
  </si>
  <si>
    <t>-34.6340503,-58.52177039999999</t>
  </si>
  <si>
    <t>HTL746</t>
  </si>
  <si>
    <t>Raíz - Restobar</t>
  </si>
  <si>
    <t>Vicente López 418, A4400 Salta, Argentina -</t>
  </si>
  <si>
    <t>-24.7852301,-65.4050559</t>
  </si>
  <si>
    <t>HTW0Z8</t>
  </si>
  <si>
    <t>Schock Ba - Belgrano</t>
  </si>
  <si>
    <t>Av. del Libertador 6102 -</t>
  </si>
  <si>
    <t>-34.5557277,-58.44878099999999</t>
  </si>
  <si>
    <t>HTWOJ2</t>
  </si>
  <si>
    <t>La Casa De Las Milanesas 455</t>
  </si>
  <si>
    <t>Carril Urquiza 368, M5521 Mendoza, Argentina -</t>
  </si>
  <si>
    <t>-32.905494,-68.78277369999999</t>
  </si>
  <si>
    <t>HTK2OC</t>
  </si>
  <si>
    <t>Good Place</t>
  </si>
  <si>
    <t>AV. MITRE 6430 -</t>
  </si>
  <si>
    <t>-34.7049791,-58.31584400000001</t>
  </si>
  <si>
    <t>HTZ2XJ</t>
  </si>
  <si>
    <t>Calof Empanaderia</t>
  </si>
  <si>
    <t>Rafael Pombo 621, entre Montalvo y Arboleda -</t>
  </si>
  <si>
    <t>Los Gigantes</t>
  </si>
  <si>
    <t>-31.36332729999999,-64.1666576</t>
  </si>
  <si>
    <t>HTZ1A0</t>
  </si>
  <si>
    <t>Ayg - Villa Dominico</t>
  </si>
  <si>
    <t>Cnel. Arévalo 927, B1874 Villa Dominico, Argentina -</t>
  </si>
  <si>
    <t>-34.68653959206961,-58.31961255299454</t>
  </si>
  <si>
    <t>HTWSTC</t>
  </si>
  <si>
    <t>Capricho De Miga</t>
  </si>
  <si>
    <t>Crisólogo Oliva 1726 Casa ladrillo visto, X5010 Córdoba, Argentina -</t>
  </si>
  <si>
    <t>-31.4212406,-64.2106015</t>
  </si>
  <si>
    <t>HTZWE9</t>
  </si>
  <si>
    <t>Raven Birra &amp; Burger</t>
  </si>
  <si>
    <t>Viel 2089, C1424 Buenos Aires, Argentina -</t>
  </si>
  <si>
    <t>-34.640584,-58.42763670000001</t>
  </si>
  <si>
    <t>HTWTNE</t>
  </si>
  <si>
    <t>Cremolatti General Paz</t>
  </si>
  <si>
    <t>Rosario de Santa Fe 942, Ciudad de Córdoba, Provincia de Córdoba, Argentina -</t>
  </si>
  <si>
    <t>Juniors</t>
  </si>
  <si>
    <t>-31.4170184,-64.16930239999999</t>
  </si>
  <si>
    <t>HTBK5N</t>
  </si>
  <si>
    <t>La Parrilla De Javi.</t>
  </si>
  <si>
    <t>Leones 976 -</t>
  </si>
  <si>
    <t>-34.6246449,-58.6024766</t>
  </si>
  <si>
    <t>HTA6LP</t>
  </si>
  <si>
    <t>Royal India Tradición &amp; Sabor</t>
  </si>
  <si>
    <t>San Lorenzo 656, M5500 Mendoza, Argentina -</t>
  </si>
  <si>
    <t>-32.8924646,-68.8486746</t>
  </si>
  <si>
    <t>HTZ6OC</t>
  </si>
  <si>
    <t>Na.bakkery</t>
  </si>
  <si>
    <t>bolivia 1228, B1824 Lanús Oeste -</t>
  </si>
  <si>
    <t>-34.6920223,-58.3924229</t>
  </si>
  <si>
    <t>HTWI0I</t>
  </si>
  <si>
    <t>Pizza Cambalache 342</t>
  </si>
  <si>
    <t>C. 116 232, B1990 La Plata, Argentina -</t>
  </si>
  <si>
    <t>-34.8967554,-57.95536310000001</t>
  </si>
  <si>
    <t>HTWTCZ</t>
  </si>
  <si>
    <t>Teque Studio</t>
  </si>
  <si>
    <t>Camargo 823</t>
  </si>
  <si>
    <t>-34.5978099,-58.4429276</t>
  </si>
  <si>
    <t>HTW0SA</t>
  </si>
  <si>
    <t>Star Comidas 2</t>
  </si>
  <si>
    <t>Av. Otto Bemberg 5066, B1885IHZ Guillermo Enrique Hudson, Provincia de Buenos Aires -</t>
  </si>
  <si>
    <t>-34.7960235,-58.1697797</t>
  </si>
  <si>
    <t>HTZ2UE</t>
  </si>
  <si>
    <t>Heladería Kumis</t>
  </si>
  <si>
    <t>José Ingenieros 1669, B1828 Ingeniero Budge, Argentina -</t>
  </si>
  <si>
    <t>Santa Marta</t>
  </si>
  <si>
    <t>-34.7451738,-58.44176479999999</t>
  </si>
  <si>
    <t>HTWQTN</t>
  </si>
  <si>
    <t>Ron Damon Gauss -</t>
  </si>
  <si>
    <t>Av. Carlos F. Gauss 5999, X5021 Córdoba, Argentina -</t>
  </si>
  <si>
    <t>-31.35223719999999,-64.2493341</t>
  </si>
  <si>
    <t>HTZHL4</t>
  </si>
  <si>
    <t>Fritta - Pilar</t>
  </si>
  <si>
    <t>Aráoz Alfaro 1525, B1635 Presidente Derqui, Argentina -</t>
  </si>
  <si>
    <t>-34.4887197,-58.8374986</t>
  </si>
  <si>
    <t>HTL09L</t>
  </si>
  <si>
    <t>Umai Sushi - Ituzaingo</t>
  </si>
  <si>
    <t>Bacacay 698, B1714 Ituzaingó, Argentina -</t>
  </si>
  <si>
    <t>-34.6496314,-58.6685219</t>
  </si>
  <si>
    <t>HRH2FX</t>
  </si>
  <si>
    <t>Caudillo Del Norte .</t>
  </si>
  <si>
    <t>Dr. Luis Beláustegui 1240, C1416 Buenos Aires, Argentina -</t>
  </si>
  <si>
    <t>-34.6063005,-58.45783489999999</t>
  </si>
  <si>
    <t>HTK232</t>
  </si>
  <si>
    <t>Salud Sojo - Palomar</t>
  </si>
  <si>
    <t>Estomba 1706, B1685 El Palomar, Argentina -</t>
  </si>
  <si>
    <t>-34.625463,-58.5914716</t>
  </si>
  <si>
    <t>HTZOE7</t>
  </si>
  <si>
    <t>Flama Burguer</t>
  </si>
  <si>
    <t>La Merced 526, B1803 La Unión, Argentina -</t>
  </si>
  <si>
    <t>La Unión</t>
  </si>
  <si>
    <t>-34.8705064,-58.5299886</t>
  </si>
  <si>
    <t>HTA3J2</t>
  </si>
  <si>
    <t>Alta Pinta 114</t>
  </si>
  <si>
    <t>Gral. San Martín 1133, B1667 Manuel Alberti, Argentina -</t>
  </si>
  <si>
    <t>-34.4604184,-58.7713359</t>
  </si>
  <si>
    <t>HTDONY</t>
  </si>
  <si>
    <t>Vivalenti - Campana</t>
  </si>
  <si>
    <t>Blvd. Sarmiento 495, C2804 Campana, Argentina -</t>
  </si>
  <si>
    <t>-34.1662511,-58.9563454</t>
  </si>
  <si>
    <t>HTW0AA</t>
  </si>
  <si>
    <t>Sabores Del Litoral Benavidez</t>
  </si>
  <si>
    <t>Tucumán 1840, B1621 Benavidez, Argentina -</t>
  </si>
  <si>
    <t>-34.4210571,-58.685</t>
  </si>
  <si>
    <t>HTZKOR</t>
  </si>
  <si>
    <t>Peconni &amp; Co</t>
  </si>
  <si>
    <t>Cortina 1456, C1408 Buenos Aires, Argentina -</t>
  </si>
  <si>
    <t>-34.627417,-58.516005</t>
  </si>
  <si>
    <t>HTHQT2</t>
  </si>
  <si>
    <t>Carmela Casa De Comidas</t>
  </si>
  <si>
    <t>1075 Av. Solano Vera -</t>
  </si>
  <si>
    <t>-26.829371,-65.30648985</t>
  </si>
  <si>
    <t>HTW58R</t>
  </si>
  <si>
    <t>Tequeps</t>
  </si>
  <si>
    <t>Av. San Isidro Labrador 4551, Piso 2B, Buenos Aires, Argentina -</t>
  </si>
  <si>
    <t>-34.5428358,-58.4735013</t>
  </si>
  <si>
    <t>4MM7B3</t>
  </si>
  <si>
    <t>Rh Mercado Boutique</t>
  </si>
  <si>
    <t>Av. Carlos Tejedor 954 -</t>
  </si>
  <si>
    <t>Parque Luro</t>
  </si>
  <si>
    <t>-37.965953,-57.5535998</t>
  </si>
  <si>
    <t>HTWYSW</t>
  </si>
  <si>
    <t>Heladeria Cantabria - Rosario</t>
  </si>
  <si>
    <t>San Luis 2425 -</t>
  </si>
  <si>
    <t>-32.9458498,-60.6571411</t>
  </si>
  <si>
    <t>HTWI3W</t>
  </si>
  <si>
    <t>Ganache Cafeteria 406</t>
  </si>
  <si>
    <t>Coronel Moldes 20, M5502 Mendoza, Argentina -</t>
  </si>
  <si>
    <t>-32.8768604,-68.84729639999999</t>
  </si>
  <si>
    <t>HT4LO3</t>
  </si>
  <si>
    <t>Amalfi Helados</t>
  </si>
  <si>
    <t>Bartolomé Mitre 273, B1852 Burzaco, Argentina -</t>
  </si>
  <si>
    <t>-34.8322808,-58.3926488</t>
  </si>
  <si>
    <t>HRFFQG</t>
  </si>
  <si>
    <t>Fatto In Casa.</t>
  </si>
  <si>
    <t>Doctor Manuel A. Rouco 1038 -</t>
  </si>
  <si>
    <t>-34.5865629,-58.5286893</t>
  </si>
  <si>
    <t>HTHWPG</t>
  </si>
  <si>
    <t>Empanadas 2 Corazones</t>
  </si>
  <si>
    <t>Av. San Juan 3351, C1233 Buenos Aires, Argentina -</t>
  </si>
  <si>
    <t>-34.6249161,-58.4127956</t>
  </si>
  <si>
    <t>HTWBE7</t>
  </si>
  <si>
    <t>Tannat Resto-bar</t>
  </si>
  <si>
    <t>Av. Libertad 580, X5152 Villa Carlos Paz, Córdoba, Argentina -</t>
  </si>
  <si>
    <t>-31.4180314,-64.4899906</t>
  </si>
  <si>
    <t>HTK08U</t>
  </si>
  <si>
    <t>Plaza Gardel</t>
  </si>
  <si>
    <t>Héroes de Malvinas 3835, B1824 Remedios de Escalada, Argentina -</t>
  </si>
  <si>
    <t>-34.7353745,-58.3846327</t>
  </si>
  <si>
    <t>HTZVIA</t>
  </si>
  <si>
    <t>Paprika Burger - Moreno</t>
  </si>
  <si>
    <t>9 de Julio 219, B1744 Moreno, Argentina -</t>
  </si>
  <si>
    <t>-34.6510639,-58.7983375</t>
  </si>
  <si>
    <t>HTZ28R</t>
  </si>
  <si>
    <t>Dom Pacho</t>
  </si>
  <si>
    <t>San Miguel 1805 1805, M5540 Mendoza, Argentina -</t>
  </si>
  <si>
    <t>-32.8482884,-68.8412436</t>
  </si>
  <si>
    <t>HTL2UZ</t>
  </si>
  <si>
    <t>Sabor A Casa -</t>
  </si>
  <si>
    <t>Estanislao del Campo 4430, S2001 Rosario, Argentina -</t>
  </si>
  <si>
    <t>-32.9878542,-60.6538109</t>
  </si>
  <si>
    <t>HRK3WW</t>
  </si>
  <si>
    <t>Panzis Artesanal</t>
  </si>
  <si>
    <t>arenales 60 1A torre 1 , B1870 Avellaneda, Argentina -</t>
  </si>
  <si>
    <t>-34.6659667,-58.36024169999999</t>
  </si>
  <si>
    <t>HKP30D</t>
  </si>
  <si>
    <t>Baby Pop.</t>
  </si>
  <si>
    <t>Juan Pablo II 1740 -</t>
  </si>
  <si>
    <t>-32.9069036,-60.72185810000001</t>
  </si>
  <si>
    <t>HKRG86</t>
  </si>
  <si>
    <t>Rico &amp; Sabroson</t>
  </si>
  <si>
    <t>Tarija 121 -</t>
  </si>
  <si>
    <t>-34.7776879,-58.375634</t>
  </si>
  <si>
    <t>HK3RWB</t>
  </si>
  <si>
    <t>Mex Resto Bar Gastronomia Mexicana-</t>
  </si>
  <si>
    <t>Avenida Recta Martinolli 8794</t>
  </si>
  <si>
    <t>-31.34480094909668,-64.28579711914062</t>
  </si>
  <si>
    <t>HK8D6K</t>
  </si>
  <si>
    <t>La Dorita Mercado Belgrano</t>
  </si>
  <si>
    <t>Ciudad de La Paz 2130 -</t>
  </si>
  <si>
    <t>-34.562297,-58.45819119999999</t>
  </si>
  <si>
    <t>4OXZA3</t>
  </si>
  <si>
    <t>Lupita Mexican Bar</t>
  </si>
  <si>
    <t>BROWN 397 -</t>
  </si>
  <si>
    <t>-34.7183987,-58.2589231</t>
  </si>
  <si>
    <t>4OVYNH</t>
  </si>
  <si>
    <t>Dopamina Coffee-</t>
  </si>
  <si>
    <t>Florida 259 -</t>
  </si>
  <si>
    <t>-34.60404570000001,-58.3749736</t>
  </si>
  <si>
    <t>4OVAIB</t>
  </si>
  <si>
    <t>Dolce Alba</t>
  </si>
  <si>
    <t>Campana 2894 -</t>
  </si>
  <si>
    <t>-34.60380173,-58.49539948</t>
  </si>
  <si>
    <t>HK6I24</t>
  </si>
  <si>
    <t>Dogsy - San Miguel de Tucumán</t>
  </si>
  <si>
    <t>Avenida General Roca 3450 -</t>
  </si>
  <si>
    <t>Lincoln</t>
  </si>
  <si>
    <t>-26.8356990814209,-65.25270080566406</t>
  </si>
  <si>
    <t>HK45V7</t>
  </si>
  <si>
    <t>Kokino Helados</t>
  </si>
  <si>
    <t>Entre Ríos 610 -</t>
  </si>
  <si>
    <t>-26.8402216,-65.20211019999999</t>
  </si>
  <si>
    <t>4OVAQW</t>
  </si>
  <si>
    <t>Dogsy - Terminal</t>
  </si>
  <si>
    <t>Avenida Brígido Terán 250 - local 10 -</t>
  </si>
  <si>
    <t>-26.8349469,-65.1938002</t>
  </si>
  <si>
    <t>HKRX03</t>
  </si>
  <si>
    <t>Forrajería El Cebilar</t>
  </si>
  <si>
    <t>Av. Avellaneda 42 -</t>
  </si>
  <si>
    <t>-26.83200073242188,-65.19719696044922</t>
  </si>
  <si>
    <t>HWJCTV</t>
  </si>
  <si>
    <t>Carrefour - Hiper Tucumán (046)</t>
  </si>
  <si>
    <t>Catamarca 1116 -</t>
  </si>
  <si>
    <t>-26.81442715,-65.20930835</t>
  </si>
  <si>
    <t>HW5XQ3</t>
  </si>
  <si>
    <t>Heladeria Kokino Lavalle</t>
  </si>
  <si>
    <t>Lavalle 1398 -</t>
  </si>
  <si>
    <t>-26.8364952,-65.2203861</t>
  </si>
  <si>
    <t>HW5CSP</t>
  </si>
  <si>
    <t>Magopan</t>
  </si>
  <si>
    <t>Cnel. Zelaya  266</t>
  </si>
  <si>
    <t>-26.8273555,-65.23902799999999</t>
  </si>
  <si>
    <t>HWCHZU</t>
  </si>
  <si>
    <t>Auto Kiosco</t>
  </si>
  <si>
    <t>Av. Solano Vera 1031 -</t>
  </si>
  <si>
    <t>-26.8242084,-65.3056108</t>
  </si>
  <si>
    <t>HK3C1M</t>
  </si>
  <si>
    <t>Munay Panaderia - Juan B. Justo</t>
  </si>
  <si>
    <t>Juan B. Justo 1164 -</t>
  </si>
  <si>
    <t>-26.8165062,-65.19344939999999</t>
  </si>
  <si>
    <t>HWMP5W</t>
  </si>
  <si>
    <t>Munay Panaderia - Mendoza</t>
  </si>
  <si>
    <t>Mendoza  2762</t>
  </si>
  <si>
    <t>-26.8206327,-65.238435</t>
  </si>
  <si>
    <t>HW77QS</t>
  </si>
  <si>
    <t>Milangueando Sandwicheria</t>
  </si>
  <si>
    <t>Colombia 49, , T4107Tucuman, Argentina -</t>
  </si>
  <si>
    <t>-26.8152757,-65.2803026</t>
  </si>
  <si>
    <t>HW91OM</t>
  </si>
  <si>
    <t>Hielo Extremo</t>
  </si>
  <si>
    <t>AVDA ACONQUIJA 2452
YERBA BUENA 
4107-TUCUMAN -</t>
  </si>
  <si>
    <t>-26.8112368,-65.3065493</t>
  </si>
  <si>
    <t>HWQ87V</t>
  </si>
  <si>
    <t>Oliver Brown Take Away</t>
  </si>
  <si>
    <t>San Martin 761
SAN MIGUEL DE TUCUMAN 
4000-TUCUMAN -</t>
  </si>
  <si>
    <t>-26.82882769999999,-65.2083691</t>
  </si>
  <si>
    <t>4CH71P</t>
  </si>
  <si>
    <t>Mq Pizza</t>
  </si>
  <si>
    <t>Las Acacias 89 -</t>
  </si>
  <si>
    <t>-26.81555115854184,-65.27312425685426</t>
  </si>
  <si>
    <t>HW1AIF</t>
  </si>
  <si>
    <t>Señora Mila</t>
  </si>
  <si>
    <t>Maipu 790 -</t>
  </si>
  <si>
    <t>-26.8197438,-65.2051227</t>
  </si>
  <si>
    <t>HW9A19</t>
  </si>
  <si>
    <t>Papo's Burgers 882</t>
  </si>
  <si>
    <t>Constitución 2010, T4000 San Miguel De Tucumán, Argentina -</t>
  </si>
  <si>
    <t>Seoc 3</t>
  </si>
  <si>
    <t>-26.85163590446461,-65.24416172463609</t>
  </si>
  <si>
    <t>HLIJ7P</t>
  </si>
  <si>
    <t>Villecco Aconquija</t>
  </si>
  <si>
    <t>Avenida Aconquija 1341 -</t>
  </si>
  <si>
    <t>-26.81394845,-65.28881995</t>
  </si>
  <si>
    <t>HK45VR</t>
  </si>
  <si>
    <t>Villecco - Barrio Norte</t>
  </si>
  <si>
    <t>CORRIENTES 751
SAN MIGUEL DE TUCUMAN
4000-TUCUMAN -</t>
  </si>
  <si>
    <t>-26.8220013,-65.20638305</t>
  </si>
  <si>
    <t>4CLYBX</t>
  </si>
  <si>
    <t>Yoka Burger</t>
  </si>
  <si>
    <t>Congreso de Tucumán 364 -</t>
  </si>
  <si>
    <t>-26.8361652,-65.2044463</t>
  </si>
  <si>
    <t>HWOQKM</t>
  </si>
  <si>
    <t>Bigyola</t>
  </si>
  <si>
    <t>Paraguay 4357, T4000 San Miguel de Tucumán, Tucumán, Argentina barrio O' Connors -</t>
  </si>
  <si>
    <t>El Empalme</t>
  </si>
  <si>
    <t>-26.8082848,-65.2175903</t>
  </si>
  <si>
    <t>HA3ECP</t>
  </si>
  <si>
    <t>Mascotas - PedidosYa Market Tucuman - Belgrano</t>
  </si>
  <si>
    <t>Av. Manuel Belgrano 1958 -</t>
  </si>
  <si>
    <t>-26.8144683,-65.22393230000002</t>
  </si>
  <si>
    <t>4OVMFQ</t>
  </si>
  <si>
    <t>La Panería Yb</t>
  </si>
  <si>
    <t>Gral. Lamadrid 1106 -</t>
  </si>
  <si>
    <t>-26.8218898,-65.2852237</t>
  </si>
  <si>
    <t>HA3OFL</t>
  </si>
  <si>
    <t>Villecco Peron</t>
  </si>
  <si>
    <t>Av Peron 1600 local 16, Open plaza -</t>
  </si>
  <si>
    <t>-26.8016416,-65.2898884</t>
  </si>
  <si>
    <t>HA3OUB</t>
  </si>
  <si>
    <t>La Paneria Tuc</t>
  </si>
  <si>
    <t>Bulnes 1346 -</t>
  </si>
  <si>
    <t>-26.80462465,-65.2411534</t>
  </si>
  <si>
    <t>HA36TU</t>
  </si>
  <si>
    <t>Sabores De Casa 366</t>
  </si>
  <si>
    <t>Perú 1065 -</t>
  </si>
  <si>
    <t>-26.80887514711855,-65.20835542209015</t>
  </si>
  <si>
    <t>HA3CDZ</t>
  </si>
  <si>
    <t>La Verdu 946</t>
  </si>
  <si>
    <t>Av. Juan Domingo Perón 95 -</t>
  </si>
  <si>
    <t>-26.80596355,-65.2638922</t>
  </si>
  <si>
    <t>HA36HD</t>
  </si>
  <si>
    <t>We! Cream Helados Y Café San Juan</t>
  </si>
  <si>
    <t>San Juan 406 -</t>
  </si>
  <si>
    <t>-26.8259,-65.2020414</t>
  </si>
  <si>
    <t>HWFYGK</t>
  </si>
  <si>
    <t>Casapan Lavalle</t>
  </si>
  <si>
    <t>Lavalle 577, , T4000San Miguel De Tucumán, Argentina -</t>
  </si>
  <si>
    <t>-26.8387967,-65.2082138</t>
  </si>
  <si>
    <t>HK45XD</t>
  </si>
  <si>
    <t>Villecco Microcentro</t>
  </si>
  <si>
    <t>Buenos Aires 29 -</t>
  </si>
  <si>
    <t>-26.8310729,-65.20642244999999</t>
  </si>
  <si>
    <t>4CWU08</t>
  </si>
  <si>
    <t>Carnave Granja - Centro Tucumán</t>
  </si>
  <si>
    <t>Laprida 211 -</t>
  </si>
  <si>
    <t>-26.8284546,-65.2024969</t>
  </si>
  <si>
    <t>HADFQG</t>
  </si>
  <si>
    <t>Casapan Lavalle - Café</t>
  </si>
  <si>
    <t>Lavalle 577 -</t>
  </si>
  <si>
    <t>4CWMUS</t>
  </si>
  <si>
    <t>La Oma Empanadas Oeste 297</t>
  </si>
  <si>
    <t>Italia 3177 -</t>
  </si>
  <si>
    <t>Zenon Santillan</t>
  </si>
  <si>
    <t>-26.80796707280113,-65.24154075396727</t>
  </si>
  <si>
    <t>HADTFG</t>
  </si>
  <si>
    <t>Distribuidora Del Valle</t>
  </si>
  <si>
    <t>Camino del Perú 298 -</t>
  </si>
  <si>
    <t>-26.814361,-65.26435</t>
  </si>
  <si>
    <t>HADAK7</t>
  </si>
  <si>
    <t>Franchelina Barrio Norte 239</t>
  </si>
  <si>
    <t>Ildefonso de las Muñecas 694, - San Miguel De Tucumán, Argentina -</t>
  </si>
  <si>
    <t>-26.8213658,-65.203876</t>
  </si>
  <si>
    <t>HKQZQM</t>
  </si>
  <si>
    <t>Verduleria La Infancia</t>
  </si>
  <si>
    <t>Combate de San Lorenzo 888 -</t>
  </si>
  <si>
    <t>-26.83264459999999,-65.2114252</t>
  </si>
  <si>
    <t>4CAZ1M</t>
  </si>
  <si>
    <t>Casapan Peron Rest</t>
  </si>
  <si>
    <t>Av. Juan Domingo Perón 1800 -</t>
  </si>
  <si>
    <t>-26.8020278,-65.2942127</t>
  </si>
  <si>
    <t>HAEA5R</t>
  </si>
  <si>
    <t>Aurelia Restobar</t>
  </si>
  <si>
    <t>Lavalle 525 -</t>
  </si>
  <si>
    <t>-26.83905355,-65.2072915</t>
  </si>
  <si>
    <t>HADFXI</t>
  </si>
  <si>
    <t>Casapan Salta Rest</t>
  </si>
  <si>
    <t>Salta esquina Marcos Paz -</t>
  </si>
  <si>
    <t>-26.82011146039537,-65.20849539045183</t>
  </si>
  <si>
    <t>HADFX7</t>
  </si>
  <si>
    <t>Casapan Balcarce - Rest</t>
  </si>
  <si>
    <t>Balcarce 803 -</t>
  </si>
  <si>
    <t>-26.82114091421201,-65.19621365277862</t>
  </si>
  <si>
    <t>HA4JLK</t>
  </si>
  <si>
    <t>Los Sabores De Cuchy</t>
  </si>
  <si>
    <t>Balcarce  1502</t>
  </si>
  <si>
    <t>-26.811598,-65.1938141</t>
  </si>
  <si>
    <t>HA4OXV</t>
  </si>
  <si>
    <t>Tozir Burger</t>
  </si>
  <si>
    <t>Av. Juan Domingo Perón 47 -</t>
  </si>
  <si>
    <t>-26.80619655,-65.26302255</t>
  </si>
  <si>
    <t>HAE3SJ</t>
  </si>
  <si>
    <t>Pistritto</t>
  </si>
  <si>
    <t>Gral. José de San Martín 1100, Yerba Buena, Tucumán, Argentina -</t>
  </si>
  <si>
    <t>-26.825906,-65.29395805</t>
  </si>
  <si>
    <t>4CAK58</t>
  </si>
  <si>
    <t>Casapan Aconquija Coffe</t>
  </si>
  <si>
    <t>Av. Aconquija 1570 -</t>
  </si>
  <si>
    <t>-26.81369845,-65.29207575</t>
  </si>
  <si>
    <t>HAGCV3</t>
  </si>
  <si>
    <t>La Tranquera Empanadas San Lorenzo</t>
  </si>
  <si>
    <t>Combate de San Lorenzo 2295 -</t>
  </si>
  <si>
    <t>-26.8278373,-65.232615</t>
  </si>
  <si>
    <t>HAETC3</t>
  </si>
  <si>
    <t>Ramé Pasteleria Boutique</t>
  </si>
  <si>
    <t>Av. Aconquija &amp; Chacho peñaloza galeria la rambla, Local 10 (sobre chacho peñaloza) -</t>
  </si>
  <si>
    <t>-26.8155518,-65.28433910000001</t>
  </si>
  <si>
    <t>HAEM3A</t>
  </si>
  <si>
    <t>Jalu  Resto</t>
  </si>
  <si>
    <t>1500 Av. Juan Domingo Perón local 20 -</t>
  </si>
  <si>
    <t>-26.80177815,-65.28970495</t>
  </si>
  <si>
    <t>4CZ1PU</t>
  </si>
  <si>
    <t>Metasushi Smt</t>
  </si>
  <si>
    <t>Italia 2602 -</t>
  </si>
  <si>
    <t>Jardín</t>
  </si>
  <si>
    <t>-26.809647,-65.2332145</t>
  </si>
  <si>
    <t>4CZVC4</t>
  </si>
  <si>
    <t>Metasushi Lomas</t>
  </si>
  <si>
    <t>-26.80963113661044,-65.23323282883607</t>
  </si>
  <si>
    <t>HAEPCZ</t>
  </si>
  <si>
    <t>La Alem</t>
  </si>
  <si>
    <t>Calle: san lorenzo 1208 -</t>
  </si>
  <si>
    <t>-26.8317004,-65.21665349999999</t>
  </si>
  <si>
    <t>HAEBDK</t>
  </si>
  <si>
    <t>Alo Tienda &amp; Cafe Amador</t>
  </si>
  <si>
    <t>Amador Lucero 64 -</t>
  </si>
  <si>
    <t>-26.82643220000001,-65.2291558</t>
  </si>
  <si>
    <t>HAEJA4</t>
  </si>
  <si>
    <t>Vegan King Mdl</t>
  </si>
  <si>
    <t>Avenida Mate de Luna  1820</t>
  </si>
  <si>
    <t>-26.82679165,-65.2250301</t>
  </si>
  <si>
    <t>4CA6FY</t>
  </si>
  <si>
    <t>Boulevard Drugstore 857</t>
  </si>
  <si>
    <t>San Lorenzo 1183 -</t>
  </si>
  <si>
    <t>-26.8316251,-65.2157047</t>
  </si>
  <si>
    <t>HAG43K</t>
  </si>
  <si>
    <t>Mascotas - PedidosYa Market Tucumán Yerba Buena</t>
  </si>
  <si>
    <t>Av. Aconquija 339 -</t>
  </si>
  <si>
    <t>-26.8173622,-65.27029525</t>
  </si>
  <si>
    <t>HAG2WU</t>
  </si>
  <si>
    <t>Leno Flip</t>
  </si>
  <si>
    <t>Av. Aconquija 365 -</t>
  </si>
  <si>
    <t>-26.81711495,-65.2705488</t>
  </si>
  <si>
    <t>HAGGPG</t>
  </si>
  <si>
    <t>Delivery La Mecha</t>
  </si>
  <si>
    <t>Colombia 2749, T4001 San Miguel De Tucumán, Argentina -</t>
  </si>
  <si>
    <t>Echeverria</t>
  </si>
  <si>
    <t>-26.80017,-65.2331738</t>
  </si>
  <si>
    <t>HAG2NZ</t>
  </si>
  <si>
    <t>Carnave Granja - Yerba Buena</t>
  </si>
  <si>
    <t>Perú 1803 -</t>
  </si>
  <si>
    <t>-26.8068121,-65.2941889</t>
  </si>
  <si>
    <t>HA3IOD</t>
  </si>
  <si>
    <t>Dumbo Café</t>
  </si>
  <si>
    <t>Gregorio Aráoz de Lamadrid 795 -</t>
  </si>
  <si>
    <t>-26.8366976,-65.2107863</t>
  </si>
  <si>
    <t>4CP4YM</t>
  </si>
  <si>
    <t>El Paisa Yerba Buena</t>
  </si>
  <si>
    <t>Santo Domingo 1801 -</t>
  </si>
  <si>
    <t>-26.8046995,-65.2936813</t>
  </si>
  <si>
    <t>HA8NNF</t>
  </si>
  <si>
    <t>Mandalefruta - Tucuman Sur</t>
  </si>
  <si>
    <t>Av. Alem 502 -</t>
  </si>
  <si>
    <t>-26.83482385,-65.22012675</t>
  </si>
  <si>
    <t>HAGNJR</t>
  </si>
  <si>
    <t>Panadería Los 3 Hermanos</t>
  </si>
  <si>
    <t>Av. Camino del Perú 318, San Miguel de Tucumán, Tucumán, Argentina -</t>
  </si>
  <si>
    <t>Ciudad Parque</t>
  </si>
  <si>
    <t>-26.8145093,-65.2642355</t>
  </si>
  <si>
    <t>4CRULT</t>
  </si>
  <si>
    <t>Noah's Green Kitchen - San Miguel De Tucumán</t>
  </si>
  <si>
    <t>Avenida 24 de Septiembre 511 -</t>
  </si>
  <si>
    <t>-26.8307039,-65.20506360000002</t>
  </si>
  <si>
    <t>HA68YY</t>
  </si>
  <si>
    <t>Miniservice La 24</t>
  </si>
  <si>
    <t>Av. 24 de Septiembre 886 -</t>
  </si>
  <si>
    <t>-26.8299481,-65.2106107</t>
  </si>
  <si>
    <t>HWR72W</t>
  </si>
  <si>
    <t>Wall Street Distribuciones - Barrio Norte</t>
  </si>
  <si>
    <t>corrientes 467 -</t>
  </si>
  <si>
    <t>-26.8230147,-65.2021565</t>
  </si>
  <si>
    <t>HA6I97</t>
  </si>
  <si>
    <t>La Vizcacha Empanadas Aconquija</t>
  </si>
  <si>
    <t>Avenida Aconquija 285 -</t>
  </si>
  <si>
    <t>-26.8173955,-65.2692778</t>
  </si>
  <si>
    <t>4CPUSO</t>
  </si>
  <si>
    <t>Blackroll - Tucuman</t>
  </si>
  <si>
    <t>Salta 392 -</t>
  </si>
  <si>
    <t>-26.824469,-65.20968309999999</t>
  </si>
  <si>
    <t>4CPUSD</t>
  </si>
  <si>
    <t>Blackroll - Yerba Buena</t>
  </si>
  <si>
    <t>Av. Aconquija 1677 -</t>
  </si>
  <si>
    <t>-26.8132469,-65.2931241</t>
  </si>
  <si>
    <t>HAHVH0</t>
  </si>
  <si>
    <t>Wish Day Natural</t>
  </si>
  <si>
    <t>Laprida 290 -</t>
  </si>
  <si>
    <t>-26.82743709999999,-65.2022576</t>
  </si>
  <si>
    <t>HAEIKV</t>
  </si>
  <si>
    <t>El Gordito Sangucheria</t>
  </si>
  <si>
    <t>Martín Fierro 1124, T4001 San Miguel De Tucumán, Argentina -</t>
  </si>
  <si>
    <t>Villa 9 de Julio</t>
  </si>
  <si>
    <t>-26.8182048,-65.1856535</t>
  </si>
  <si>
    <t>HALQ8U</t>
  </si>
  <si>
    <t>Dean &amp; Dennys Tucuman</t>
  </si>
  <si>
    <t>Universo &amp; Cariola -</t>
  </si>
  <si>
    <t>-26.8218919,-65.2671615</t>
  </si>
  <si>
    <t>HAKK67</t>
  </si>
  <si>
    <t>Rafo Empanadas</t>
  </si>
  <si>
    <t>Av. Gdor. del Campo 139 -</t>
  </si>
  <si>
    <t>-26.8206163,-65.1923886</t>
  </si>
  <si>
    <t>HAHV06</t>
  </si>
  <si>
    <t>Sabor Casero - San Miguel</t>
  </si>
  <si>
    <t>Pje. Eliseo Cantón 732, - San Miguel De Tucumán, Argentina -</t>
  </si>
  <si>
    <t>-26.8011653,-65.20108929999999</t>
  </si>
  <si>
    <t>HAK3DR</t>
  </si>
  <si>
    <t>La Dulcería Pastelería (yerba Buena)</t>
  </si>
  <si>
    <t>Las Rosas 1051 local 14 -</t>
  </si>
  <si>
    <t>-26.8061085,-65.2759148</t>
  </si>
  <si>
    <t>HALY6G</t>
  </si>
  <si>
    <t>Modo Pizza..</t>
  </si>
  <si>
    <t>chile 327 -</t>
  </si>
  <si>
    <t>-26.8137783,-65.1978767</t>
  </si>
  <si>
    <t>HALU7Z</t>
  </si>
  <si>
    <t>Drinks Cam. Del Perú</t>
  </si>
  <si>
    <t>Av. Camino del Perú 11 -</t>
  </si>
  <si>
    <t>-26.818244,-65.2646119</t>
  </si>
  <si>
    <t>4CWYY4</t>
  </si>
  <si>
    <t>Sandwichería San Telmo</t>
  </si>
  <si>
    <t>Calle República de Francia 102 102 -</t>
  </si>
  <si>
    <t>-26.831348,-65.1950619</t>
  </si>
  <si>
    <t>HKBHVB</t>
  </si>
  <si>
    <t>1812 Restó</t>
  </si>
  <si>
    <t>CRISOSTOMO ALVAREZ 510
SAN MIGUEL DE TUCUMAN 
4000-TUCUMAN -</t>
  </si>
  <si>
    <t>-26.83237185,-65.2051338</t>
  </si>
  <si>
    <t>4OVRFM</t>
  </si>
  <si>
    <t>La 24 Resto Bar</t>
  </si>
  <si>
    <t>Av. 24 de Septiembre 998 -</t>
  </si>
  <si>
    <t>-26.82953105,-65.21233205</t>
  </si>
  <si>
    <t>HAWJ2G</t>
  </si>
  <si>
    <t>Miska Muska Pastelería</t>
  </si>
  <si>
    <t>marcos paz 473 -</t>
  </si>
  <si>
    <t>-26.8214189,-65.2020569</t>
  </si>
  <si>
    <t>HAZQ6P</t>
  </si>
  <si>
    <t>Punto A Tuc</t>
  </si>
  <si>
    <t>ayacucho 436,  San Miguel De Tucumán, Argentina -</t>
  </si>
  <si>
    <t>-26.835782,-65.21063629999999</t>
  </si>
  <si>
    <t>HAWNEH</t>
  </si>
  <si>
    <t>Casapan Belgrano</t>
  </si>
  <si>
    <t>2738 Av. Manuel Belgrano -</t>
  </si>
  <si>
    <t>-26.8122563,-65.23586139999999</t>
  </si>
  <si>
    <t>HAZHEL</t>
  </si>
  <si>
    <t>Alem Empanadas</t>
  </si>
  <si>
    <t>san lorenzo 1208 -</t>
  </si>
  <si>
    <t>-26.83171625085691,-65.21665642198485</t>
  </si>
  <si>
    <t>HAW3HV</t>
  </si>
  <si>
    <t>Temple Burger - Estación Tucumán</t>
  </si>
  <si>
    <t>652 Av. Gral. Roca -</t>
  </si>
  <si>
    <t>-26.8430943,-65.2097243</t>
  </si>
  <si>
    <t>HAZV0U</t>
  </si>
  <si>
    <t>Casapan Roca</t>
  </si>
  <si>
    <t>650 Av. Gral. Roca -</t>
  </si>
  <si>
    <t>-26.8429681,-65.2100791</t>
  </si>
  <si>
    <t>4CTXGN</t>
  </si>
  <si>
    <t>Grido Helados - 3803 - San Miguel Vii 527</t>
  </si>
  <si>
    <t>Av. República del Líbano 1098 -</t>
  </si>
  <si>
    <t>-26.8131618,-65.2148886</t>
  </si>
  <si>
    <t>4CTXGA</t>
  </si>
  <si>
    <t>Grido Helados 4938 - Tucuman Xxxii 543</t>
  </si>
  <si>
    <t>9 de Julio 71 -</t>
  </si>
  <si>
    <t>-26.831813,-65.2051048</t>
  </si>
  <si>
    <t>HAZKUQ</t>
  </si>
  <si>
    <t>Itadakimas</t>
  </si>
  <si>
    <t>Av. Sarmiento 1315, T4000 San Miguel de Tucumán, Tucumán, Argentina -</t>
  </si>
  <si>
    <t>-26.816245,-65.214208</t>
  </si>
  <si>
    <t>HAZGV0</t>
  </si>
  <si>
    <t>Rocket Pizza</t>
  </si>
  <si>
    <t>1900 Av. Juan Domingo Perón -</t>
  </si>
  <si>
    <t>-26.8002665,-65.29569864999999</t>
  </si>
  <si>
    <t>HAK34X</t>
  </si>
  <si>
    <t>Sin Tacc - Gluten Free</t>
  </si>
  <si>
    <t>Av. Mate de Luna 1800 -</t>
  </si>
  <si>
    <t>-26.826277700077,-65.22552415</t>
  </si>
  <si>
    <t>HAK5XZ</t>
  </si>
  <si>
    <t>Urquiza Sanguches Y Picadas</t>
  </si>
  <si>
    <t>25 DE MAYO 891
SAN MIGUEL DE TUCUMAN 
4000-TUCUMAN -</t>
  </si>
  <si>
    <t>-26.8190515,-65.20169109999999</t>
  </si>
  <si>
    <t>HAK3YD</t>
  </si>
  <si>
    <t>Dean  Dennys Tucuman 2</t>
  </si>
  <si>
    <t>Av. Gral. Roca 650 -</t>
  </si>
  <si>
    <t>-26.84297755,-65.20992315</t>
  </si>
  <si>
    <t>4CN2EX</t>
  </si>
  <si>
    <t>Beauty  Care - PedidosYa Market Tucumán Belgrano</t>
  </si>
  <si>
    <t>-26.81450080871582,-65.2238998413086</t>
  </si>
  <si>
    <t>4CNY1V</t>
  </si>
  <si>
    <t>Beauty  Care - PedidosYa Market Tucuman Yerba Buena</t>
  </si>
  <si>
    <t>-26.8173261,-65.2703017</t>
  </si>
  <si>
    <t>HAW1WL</t>
  </si>
  <si>
    <t>Pailita</t>
  </si>
  <si>
    <t>422 Bernardo de Monteagudo -</t>
  </si>
  <si>
    <t>-26.826109,-65.1990428</t>
  </si>
  <si>
    <t>4CNY14</t>
  </si>
  <si>
    <t>Beauty  Care - PedidosYa Market Tucuman</t>
  </si>
  <si>
    <t>Av. Alem 368 -</t>
  </si>
  <si>
    <t>-26.83320589800938,-65.21959214351654</t>
  </si>
  <si>
    <t>4CN7IY</t>
  </si>
  <si>
    <t>La Carlota Carnicería - Avenida Aconquija 120 441</t>
  </si>
  <si>
    <t>Avenida Aconquija 120 -</t>
  </si>
  <si>
    <t>-26.8183384,-65.26633140000001</t>
  </si>
  <si>
    <t>HAAMPH</t>
  </si>
  <si>
    <t>Fricap Helados Y Achilata</t>
  </si>
  <si>
    <t>Av. Aconquija 542 -</t>
  </si>
  <si>
    <t>-26.8169069,-65.2737774</t>
  </si>
  <si>
    <t>HAAVKQ</t>
  </si>
  <si>
    <t>Kuky Sandwicheria Sarmiento</t>
  </si>
  <si>
    <t>1302 Av. Sarmiento -</t>
  </si>
  <si>
    <t>-26.8165334,-65.2141023</t>
  </si>
  <si>
    <t>HARMVD</t>
  </si>
  <si>
    <t>Ulises Pizzeria &amp; Sangucheria</t>
  </si>
  <si>
    <t>Av. Colón 1875, 4000 Tucuman, Argentina -</t>
  </si>
  <si>
    <t>Ejercito Argentino</t>
  </si>
  <si>
    <t>-26.8504201,-65.2396772</t>
  </si>
  <si>
    <t>4C0GFB</t>
  </si>
  <si>
    <t>Aló Tienda &amp; Café Deli</t>
  </si>
  <si>
    <t>25 de mayo 581 -</t>
  </si>
  <si>
    <t>-26.823204,-65.2027629</t>
  </si>
  <si>
    <t>HARB1J</t>
  </si>
  <si>
    <t>La Treinta Y Uno</t>
  </si>
  <si>
    <t>492 Ruben Dario -</t>
  </si>
  <si>
    <t>-26.8206745,-65.2810101</t>
  </si>
  <si>
    <t>HAR39N</t>
  </si>
  <si>
    <t>Rico Y Saludable Tucumán</t>
  </si>
  <si>
    <t>Marco Avellaneda 618 -</t>
  </si>
  <si>
    <t>-26.8201759,-65.2132176</t>
  </si>
  <si>
    <t>4C0QJ3</t>
  </si>
  <si>
    <t>Pizzeria Popular Barrio Norte.</t>
  </si>
  <si>
    <t>Maipu  791</t>
  </si>
  <si>
    <t>-26.8197576,-65.2049318</t>
  </si>
  <si>
    <t>HAAMR9</t>
  </si>
  <si>
    <t>Positano Saludable</t>
  </si>
  <si>
    <t>Av. Mate de Luna 2890 -</t>
  </si>
  <si>
    <t>-26.8234005,-65.24099731</t>
  </si>
  <si>
    <t>HAPRC2</t>
  </si>
  <si>
    <t>Empanadas 2h- Av. Sarmiento</t>
  </si>
  <si>
    <t>941 Av. Sarmiento -</t>
  </si>
  <si>
    <t>-26.8173282,-65.2084658</t>
  </si>
  <si>
    <t>HATZJP</t>
  </si>
  <si>
    <t>El Búnker De Román</t>
  </si>
  <si>
    <t>Pje. Edmundo de Amicis 1750 -</t>
  </si>
  <si>
    <t>-26.80504677268738,-65.21850488470992</t>
  </si>
  <si>
    <t>HAS3ME</t>
  </si>
  <si>
    <t>La Mony Sandwicheria</t>
  </si>
  <si>
    <t>Av. Ejército del Nte. 758</t>
  </si>
  <si>
    <t>-26.8149307,-65.2301355</t>
  </si>
  <si>
    <t>HAR7QT</t>
  </si>
  <si>
    <t>Los Hornos Barrio Sur</t>
  </si>
  <si>
    <t>Av. Alem 57 -</t>
  </si>
  <si>
    <t>-26.82888215,-65.21891744999999</t>
  </si>
  <si>
    <t>HATJG9</t>
  </si>
  <si>
    <t>Giorgio Pizzería</t>
  </si>
  <si>
    <t>Pasaje Bascary 4203 , barrio ciudad parque , código postal 4000 -</t>
  </si>
  <si>
    <t>-26.8125314,-65.2560922</t>
  </si>
  <si>
    <t>4CUA6N</t>
  </si>
  <si>
    <t>La Conquista Empanadas - Av Solano Vera</t>
  </si>
  <si>
    <t>Dentro de Estacionamiento REFINOR, Av. Solano Vera, La Paz y, T4107 Yerba Buena, Tucumán, Argentina -</t>
  </si>
  <si>
    <t>-26.8196467,-65.3032983</t>
  </si>
  <si>
    <t>4CUA6C</t>
  </si>
  <si>
    <t>La Conquista Empanadas - Av Alem Y San Lorenzo 601</t>
  </si>
  <si>
    <t>Av. Alem 205, T4000 San Miguel de Tucumán, Tucumán, Argentina -</t>
  </si>
  <si>
    <t>-26.83104000000001,-65.219695</t>
  </si>
  <si>
    <t>HA5PBY</t>
  </si>
  <si>
    <t>Tortas Artesanales Yessy</t>
  </si>
  <si>
    <t>Av. 24 de Septiembre 1399 Esquina casal, T4000 San Miguel de Tucumán, Argentina -</t>
  </si>
  <si>
    <t>-26.82822365,-65.2183566</t>
  </si>
  <si>
    <t>HAJ0UP</t>
  </si>
  <si>
    <t>Craft - Barrio Norte Café</t>
  </si>
  <si>
    <t>25 de Mayo 736 -</t>
  </si>
  <si>
    <t>-26.8208293,-65.2024661</t>
  </si>
  <si>
    <t>HAZP6Z</t>
  </si>
  <si>
    <t>Caro Gilabert Cakes</t>
  </si>
  <si>
    <t>Balcarce 309 2 A -</t>
  </si>
  <si>
    <t>-26.8278077,-65.19781875000001</t>
  </si>
  <si>
    <t>Correo</t>
  </si>
  <si>
    <t>tel</t>
  </si>
  <si>
    <t>4OXHZ3</t>
  </si>
  <si>
    <t>La Fachada Colegiales</t>
  </si>
  <si>
    <t>Palpa 3088. -</t>
  </si>
  <si>
    <t>-34.575825,-58.4508867</t>
  </si>
  <si>
    <t>4OXH89</t>
  </si>
  <si>
    <t>La Fachada Acassuso</t>
  </si>
  <si>
    <t>Av. Santa Fé 1008 -</t>
  </si>
  <si>
    <t>-34.4818771,-58.50548259999999</t>
  </si>
  <si>
    <t>4OXLEK</t>
  </si>
  <si>
    <t>La Farola de Martínez</t>
  </si>
  <si>
    <t>Av. Santa Fé 2501 -</t>
  </si>
  <si>
    <t>-34.49420166,-58.49840164</t>
  </si>
  <si>
    <t>4FD2IB</t>
  </si>
  <si>
    <t>Bocado- Express</t>
  </si>
  <si>
    <t>La pampa 2193 -</t>
  </si>
  <si>
    <t>-34.5635986328125,-58.45220184326172</t>
  </si>
  <si>
    <t>4OXLA4</t>
  </si>
  <si>
    <t>Manolo Alem</t>
  </si>
  <si>
    <t>Leandro N. Alem 3980 -</t>
  </si>
  <si>
    <t>Playa Grande</t>
  </si>
  <si>
    <t>-38.02980041503906,-57.53739929199219</t>
  </si>
  <si>
    <t>45VHWA</t>
  </si>
  <si>
    <t>Tomasso Maure</t>
  </si>
  <si>
    <t>Maure 2424 -</t>
  </si>
  <si>
    <t>-34.571764,-58.442122</t>
  </si>
  <si>
    <t>4OXLAB</t>
  </si>
  <si>
    <t>Manolo Centro</t>
  </si>
  <si>
    <t>Santa Fe 1772 -</t>
  </si>
  <si>
    <t>-38.0010986328125,-57.5452995300293</t>
  </si>
  <si>
    <t>HWM0NA</t>
  </si>
  <si>
    <t>White Shark Coffee</t>
  </si>
  <si>
    <t>Av. Colón 699 -</t>
  </si>
  <si>
    <t>-32.89317043664526,-68.84923033677062</t>
  </si>
  <si>
    <t>HKH1QZ</t>
  </si>
  <si>
    <t>Perlatto Helados-olivos</t>
  </si>
  <si>
    <t>Avenida Maipú 2014 -</t>
  </si>
  <si>
    <t>-34.5183547,-58.4869767</t>
  </si>
  <si>
    <t>4OVH0W</t>
  </si>
  <si>
    <t>Pf Chang's</t>
  </si>
  <si>
    <t>Avenida del Libertador  13701 -</t>
  </si>
  <si>
    <t>-34.48433870000001,-58.4885751</t>
  </si>
  <si>
    <t>HAD9ZX</t>
  </si>
  <si>
    <t>Nole - Ciudad</t>
  </si>
  <si>
    <t>Boulogne Sur Mer 520 (CANTINA MZA TENIS CLUB) -</t>
  </si>
  <si>
    <t>9na Sección Parque General San Martín</t>
  </si>
  <si>
    <t>-32.89375375,-68.86344935</t>
  </si>
  <si>
    <t>HAKNIT</t>
  </si>
  <si>
    <t>Broken Burger</t>
  </si>
  <si>
    <t>Damián Hudson 695, M5500 Mendoza, Argentina -</t>
  </si>
  <si>
    <t>4ta Sección Área Fundacional</t>
  </si>
  <si>
    <t>-32.86610065,-68.8417139</t>
  </si>
  <si>
    <t>HAABVW</t>
  </si>
  <si>
    <t>Big Pizza Martinez 2</t>
  </si>
  <si>
    <t>Juan José Paso 7, B1640 Martínez, Argentina -</t>
  </si>
  <si>
    <t>-34.4909009,-58.49948465000001</t>
  </si>
  <si>
    <t>HAVJ4J</t>
  </si>
  <si>
    <t>White Shark Coffee Centro</t>
  </si>
  <si>
    <t>San martin 1184 -</t>
  </si>
  <si>
    <t>-32.88974255054252,-68.83921979629518</t>
  </si>
  <si>
    <t>HAIOL7</t>
  </si>
  <si>
    <t>Cr Helados - Vicente López</t>
  </si>
  <si>
    <t>1401 Av. Maipú -</t>
  </si>
  <si>
    <t>-34.5247161,-58.48306290000001</t>
  </si>
  <si>
    <t>HRUB2D</t>
  </si>
  <si>
    <t>Olivia Empanadas &amp; Pizzas - Martinez</t>
  </si>
  <si>
    <t>Hipólito Yrigoyen 212, B1640HEF Martínez, Provincia de Buenos Aires -</t>
  </si>
  <si>
    <t>-34.49097890000003,-58.50326870000002</t>
  </si>
  <si>
    <t>HR827J</t>
  </si>
  <si>
    <t>White Shark Coffee Arístides</t>
  </si>
  <si>
    <t>Aristides 495 -</t>
  </si>
  <si>
    <t>-32.8916575,-68.858033</t>
  </si>
  <si>
    <t>HRGDTC</t>
  </si>
  <si>
    <t>Hells Burger Mza</t>
  </si>
  <si>
    <t>Olascoaga 715, Mendoza, Argentina 715</t>
  </si>
  <si>
    <t>-32.8920151,-68.8544711</t>
  </si>
  <si>
    <t>4OXL1V</t>
  </si>
  <si>
    <t>Pizzeria La Continental - Lezama.</t>
  </si>
  <si>
    <t>54911 4122-1400</t>
  </si>
  <si>
    <t>Defensa 1452 -</t>
  </si>
  <si>
    <t>-34.6247619,-58.37097</t>
  </si>
  <si>
    <t>HPULW9</t>
  </si>
  <si>
    <t>Don Antonio Pizzas Y Empanadas Villa Urquiza</t>
  </si>
  <si>
    <t>4284 Calle Doctor Pedro I. Rivera -</t>
  </si>
  <si>
    <t>-34.5675632,-58.4796024</t>
  </si>
  <si>
    <t>HP5D8X</t>
  </si>
  <si>
    <t>Monti - Bar De Pastas - Nuñez</t>
  </si>
  <si>
    <t>Av. San Isidro Labrador 4122, B1429 Cdad. Autónoma de Buenos Aires, Argentina -</t>
  </si>
  <si>
    <t>-34.54618662595882,-58.47140712079735</t>
  </si>
  <si>
    <t>HPIFQ9</t>
  </si>
  <si>
    <t>Yaya Empanadas</t>
  </si>
  <si>
    <t>Gral. Juan José Viamonte 1345, X5004 Córdoba, Argentina -</t>
  </si>
  <si>
    <t>-31.4015997,-64.1692542</t>
  </si>
  <si>
    <t>HTGT1Q</t>
  </si>
  <si>
    <t>Churreria  Manolo</t>
  </si>
  <si>
    <t>San Luis 1729, B7600DTK Mar del Plata, Provincia de Buenos Aires -</t>
  </si>
  <si>
    <t>-37.9991826,-57.54822000000001</t>
  </si>
  <si>
    <t>HTDJ9G</t>
  </si>
  <si>
    <t>Mi Gusto - Vicente López</t>
  </si>
  <si>
    <t>Av. del Libertador 962, B1638BEV Vicente López, Provincia de Buenos Aires -</t>
  </si>
  <si>
    <t>-34.5253927,-58.4722805</t>
  </si>
  <si>
    <t>4OXLU2</t>
  </si>
  <si>
    <t>El Club de la Milanesa Mar del Plata</t>
  </si>
  <si>
    <t>Alvarado 1355</t>
  </si>
  <si>
    <t>-38.0161018371582,-57.54290008544922</t>
  </si>
  <si>
    <t>cdm.mardelplata@gmail.com</t>
  </si>
  <si>
    <t>223 4518866</t>
  </si>
  <si>
    <t>4OVNZ6</t>
  </si>
  <si>
    <t>Panadería El Molino</t>
  </si>
  <si>
    <t>Almirante Brown 2961 -</t>
  </si>
  <si>
    <t>-34.55120086669922,-58.55709838867188</t>
  </si>
  <si>
    <t>HKKEH3</t>
  </si>
  <si>
    <t>Chinin Ballester</t>
  </si>
  <si>
    <t>Alvear 2210 -</t>
  </si>
  <si>
    <t>-34.5460592,-58.54976509999999</t>
  </si>
  <si>
    <t>4OVPNR</t>
  </si>
  <si>
    <t>La Negra Simona Bernardino Rivadavia</t>
  </si>
  <si>
    <t>Bernardino Rivadavia 3280 -</t>
  </si>
  <si>
    <t>-37.99689865,-57.55450058</t>
  </si>
  <si>
    <t>HKLOF8</t>
  </si>
  <si>
    <t>Baum Playa Grande</t>
  </si>
  <si>
    <t>Bernardo de Irigoyen 3819 -</t>
  </si>
  <si>
    <t>-38.0279474,-57.5376746</t>
  </si>
  <si>
    <t>4OVNVG</t>
  </si>
  <si>
    <t>La Fonte D'Oro Pringles</t>
  </si>
  <si>
    <t>Córdoba 4598 -</t>
  </si>
  <si>
    <t>Chauvin</t>
  </si>
  <si>
    <t>-38.0226364,-57.56546909999997</t>
  </si>
  <si>
    <t>4OX8NM</t>
  </si>
  <si>
    <t>Mi Gusto Empanadas y Pizza San Martín</t>
  </si>
  <si>
    <t>Int. Alberto M. Campos 1876 -</t>
  </si>
  <si>
    <t>-34.5783877,-58.53556219999996</t>
  </si>
  <si>
    <t>4FEC3T</t>
  </si>
  <si>
    <t>La Fonte D'Oro Paseo Sur Café &amp; Deli</t>
  </si>
  <si>
    <t>Coffee</t>
  </si>
  <si>
    <t>Mario Bravo 3550 - Local 11 -</t>
  </si>
  <si>
    <t>Parque Independencia</t>
  </si>
  <si>
    <t>-38.0607279,-57.57187654999999</t>
  </si>
  <si>
    <t>4OV82Z</t>
  </si>
  <si>
    <t>Pizza Moving</t>
  </si>
  <si>
    <t>rawson 3171 -</t>
  </si>
  <si>
    <t>Estación Terminal</t>
  </si>
  <si>
    <t>-38.01210021972656,-57.54850006103516</t>
  </si>
  <si>
    <t>4OVN9M</t>
  </si>
  <si>
    <t>Borneo</t>
  </si>
  <si>
    <t>Rodríguez peña 2805 -</t>
  </si>
  <si>
    <t>-38.01188056347027,-57.56002895</t>
  </si>
  <si>
    <t>HWEEWR</t>
  </si>
  <si>
    <t>Mi Barrio Hamburguesería Villa Ballester</t>
  </si>
  <si>
    <t>Boulevard Ballester 5231 -</t>
  </si>
  <si>
    <t>-34.5447998046875,-58.55640029907227</t>
  </si>
  <si>
    <t>HWNBSB</t>
  </si>
  <si>
    <t>El Desembarco Caseros</t>
  </si>
  <si>
    <t>Gral. Manuel Belgrano 4827 -</t>
  </si>
  <si>
    <t>Caseros</t>
  </si>
  <si>
    <t>-34.6067934,-58.56441209999998</t>
  </si>
  <si>
    <t>HWYU30</t>
  </si>
  <si>
    <t>Kosuri Sushi - Villa Bosch</t>
  </si>
  <si>
    <t>Santos Vega 8069 -</t>
  </si>
  <si>
    <t>Villa Bosch</t>
  </si>
  <si>
    <t>-34.5732893,-58.59369530000001</t>
  </si>
  <si>
    <t>HWOESL</t>
  </si>
  <si>
    <t>Kosuri Sushi - Caseros</t>
  </si>
  <si>
    <t>Caseros 2591 -</t>
  </si>
  <si>
    <t>-34.6055225,-58.5675306</t>
  </si>
  <si>
    <t>4CDB0E</t>
  </si>
  <si>
    <t>Fillippo Helado Artesanal</t>
  </si>
  <si>
    <t>German Wernike  2205</t>
  </si>
  <si>
    <t>Ciudad Jardín Lomas del Palomar</t>
  </si>
  <si>
    <t>-34.5914361,-58.5910756</t>
  </si>
  <si>
    <t>HWQTBX</t>
  </si>
  <si>
    <t>Hutch Hamburguesas</t>
  </si>
  <si>
    <t>ROSETTI 6261
CIUDAD JARDIN LOMAS DEL PALOMAR (TRES DE FEBRERO) 
1684-BUENOS AIRES -</t>
  </si>
  <si>
    <t>-34.6042216,-58.59491490000001</t>
  </si>
  <si>
    <t>4O29P9</t>
  </si>
  <si>
    <t>El Conde</t>
  </si>
  <si>
    <t>Lucio N. Mansilla 2782 -</t>
  </si>
  <si>
    <t>-34.59529877,-58.40679932</t>
  </si>
  <si>
    <t>4OXHZS</t>
  </si>
  <si>
    <t>Wakusei Sushi Belgrano</t>
  </si>
  <si>
    <t>Zapiola 2480 -</t>
  </si>
  <si>
    <t>-34.5625,-58.46630096435547</t>
  </si>
  <si>
    <t>4O29TB</t>
  </si>
  <si>
    <t>Pizza Obligada</t>
  </si>
  <si>
    <t>Vuelta de Obligado 2481 -</t>
  </si>
  <si>
    <t>-34.55789948,-58.45880127</t>
  </si>
  <si>
    <t>HK93BS</t>
  </si>
  <si>
    <t>Pibä - Gurruchaga</t>
  </si>
  <si>
    <t>Gurruchaga 1796 -</t>
  </si>
  <si>
    <t>-34.58813295,-58.42735725</t>
  </si>
  <si>
    <t>HKBUJ2</t>
  </si>
  <si>
    <t>Barú Gastropub</t>
  </si>
  <si>
    <t>Raúl Scalabrini Ortíz 1298 -</t>
  </si>
  <si>
    <t>-34.59291700000001,-58.42812980000001</t>
  </si>
  <si>
    <t>4OVQ9Q</t>
  </si>
  <si>
    <t>Cuenca Beer Station</t>
  </si>
  <si>
    <t>Austria 2093 -</t>
  </si>
  <si>
    <t>-34.58819689999999,-58.40410850000001</t>
  </si>
  <si>
    <t>HKPM8D</t>
  </si>
  <si>
    <t>Kioscos The Best Borges</t>
  </si>
  <si>
    <t>Jorge Luis Borges 1799</t>
  </si>
  <si>
    <t>-34.58750152587891,-58.42819976806641</t>
  </si>
  <si>
    <t>HKRD5T</t>
  </si>
  <si>
    <t>Go Bar Juan B Justo</t>
  </si>
  <si>
    <t>Av Juan B Justo 1401 -</t>
  </si>
  <si>
    <t>-34.58459854125977,-58.43399810791016</t>
  </si>
  <si>
    <t>4OV3TA</t>
  </si>
  <si>
    <t>La Juvenil - Av. Callao</t>
  </si>
  <si>
    <t>Arenales 1739</t>
  </si>
  <si>
    <t>-34.5948099,-58.39251900000001</t>
  </si>
  <si>
    <t>HZQ2DL</t>
  </si>
  <si>
    <t>Il Vero Arturito Palermo</t>
  </si>
  <si>
    <t>Bonpland 1712, C1414Buenos Aires, Argentina -</t>
  </si>
  <si>
    <t>-34.5832771,-58.4371604</t>
  </si>
  <si>
    <t>4OVCBU</t>
  </si>
  <si>
    <t>Arte de Mafia Restaurante</t>
  </si>
  <si>
    <t>El Salvador 4975 -</t>
  </si>
  <si>
    <t>-34.5876011,-58.42989350000001</t>
  </si>
  <si>
    <t>HKLG82</t>
  </si>
  <si>
    <t>Go Bar Palermo</t>
  </si>
  <si>
    <t>José A. Cabrera 6036 -</t>
  </si>
  <si>
    <t>-34.5822901,-58.4426173</t>
  </si>
  <si>
    <t>HZC8M9</t>
  </si>
  <si>
    <t>Más Farmacia Srl 2</t>
  </si>
  <si>
    <t>Manuela pedraza 2044 -</t>
  </si>
  <si>
    <t>-34.54953115,-58.46290675000001</t>
  </si>
  <si>
    <t>4OVT50</t>
  </si>
  <si>
    <t>Hq Viejo Agump</t>
  </si>
  <si>
    <t>Armenia 1382 -</t>
  </si>
  <si>
    <t>-34.59149933,-58.43059921</t>
  </si>
  <si>
    <t>4OXKUM</t>
  </si>
  <si>
    <t>Freddo Armenia</t>
  </si>
  <si>
    <t>Armenia 1618 1618</t>
  </si>
  <si>
    <t>-34.58980178833008,-58.4281005859375</t>
  </si>
  <si>
    <t>HLI1AX</t>
  </si>
  <si>
    <t>The Coffee Store - Palermo</t>
  </si>
  <si>
    <t>Av  Cerviño 3301 -</t>
  </si>
  <si>
    <t>-34.58110046386719,-58.40639877319336</t>
  </si>
  <si>
    <t>HKFJQK</t>
  </si>
  <si>
    <t>La Juvenil - Nuñez</t>
  </si>
  <si>
    <t>Av. Del Libertador 6628</t>
  </si>
  <si>
    <t>-34.55130004882813,-58.45259857177734</t>
  </si>
  <si>
    <t>HKH2TT</t>
  </si>
  <si>
    <t>Foret</t>
  </si>
  <si>
    <t>Avenida Congreso 1602 -</t>
  </si>
  <si>
    <t>-34.551339,-58.454274</t>
  </si>
  <si>
    <t>HKLLQT</t>
  </si>
  <si>
    <t>Flymorfi Bulnes</t>
  </si>
  <si>
    <t>Bulnes 1972 -</t>
  </si>
  <si>
    <t>-34.5884197,-58.4121089</t>
  </si>
  <si>
    <t>HKMB2J</t>
  </si>
  <si>
    <t>Shell Balbín</t>
  </si>
  <si>
    <t>DR RICARDO BALBIN 3560 ESQUINA C LARRALDE -</t>
  </si>
  <si>
    <t>-34.55630111694336,-58.48099899291992</t>
  </si>
  <si>
    <t>4OVW74</t>
  </si>
  <si>
    <t>Rebelion - Palermo</t>
  </si>
  <si>
    <t>Gurruchaga 1795</t>
  </si>
  <si>
    <t>-34.58819961547852,-58.42720031738281</t>
  </si>
  <si>
    <t>HKRCRR</t>
  </si>
  <si>
    <t>The Coffee Store - Belgrano</t>
  </si>
  <si>
    <t>Juramento 1995 -</t>
  </si>
  <si>
    <t>-34.5597774,-58.4528404</t>
  </si>
  <si>
    <t>HZ7MFM</t>
  </si>
  <si>
    <t>Break Thames 2491</t>
  </si>
  <si>
    <t>Thames 2491 -</t>
  </si>
  <si>
    <t>-34.58150100708008,-58.42200088500977</t>
  </si>
  <si>
    <t>HKKNJV</t>
  </si>
  <si>
    <t>365 Kiosco Amenabar</t>
  </si>
  <si>
    <t>Amenábar 1902 -</t>
  </si>
  <si>
    <t>-34.56499862670898,-58.45700073242188</t>
  </si>
  <si>
    <t>4OXKU2</t>
  </si>
  <si>
    <t>Freddo Palermo Hollywood</t>
  </si>
  <si>
    <t>Ángel Justiniano Carranza 1869 1867</t>
  </si>
  <si>
    <t>-34.58140182495117,-58.4369010925293</t>
  </si>
  <si>
    <t>4OVLMQ</t>
  </si>
  <si>
    <t>Magazzino Deli</t>
  </si>
  <si>
    <t>Av Pueyrredon 2474 -</t>
  </si>
  <si>
    <t>-34.58596040000001,-58.3940556</t>
  </si>
  <si>
    <t>45IRJJ</t>
  </si>
  <si>
    <t>Mostaza Cabildo</t>
  </si>
  <si>
    <t>Av. Cabildo 2150 -</t>
  </si>
  <si>
    <t>-34.5616594,-58.4574088</t>
  </si>
  <si>
    <t>HZ7RZZ</t>
  </si>
  <si>
    <t>Brozziano Empanadas - Cabildo</t>
  </si>
  <si>
    <t>Av. Cabildo 2740 -</t>
  </si>
  <si>
    <t>-34.556547,-58.46157885000001</t>
  </si>
  <si>
    <t>4OV0Y3</t>
  </si>
  <si>
    <t>Grido Helados - 4111 - Nuñez I</t>
  </si>
  <si>
    <t>Av. Cabildo 3091 -</t>
  </si>
  <si>
    <t>-34.5536003112793,-58.46419906616211</t>
  </si>
  <si>
    <t>HKC12J</t>
  </si>
  <si>
    <t>Kiosco de Empanadas Colegiales</t>
  </si>
  <si>
    <t>Av. Cabildo 472 -</t>
  </si>
  <si>
    <t>-34.5716388,-58.44158695</t>
  </si>
  <si>
    <t>4OXZEJ</t>
  </si>
  <si>
    <t>Farmacias Dr. Ahorro - Olleros</t>
  </si>
  <si>
    <t>Av. Cabildo 659 -</t>
  </si>
  <si>
    <t>-34.57049942016602,-58.44340133666992</t>
  </si>
  <si>
    <t>HKKX5G</t>
  </si>
  <si>
    <t>Kiosco Bs As Express Callao 2000</t>
  </si>
  <si>
    <t>Av. Callao 2000 -</t>
  </si>
  <si>
    <t>-34.58753985,-58.3871817</t>
  </si>
  <si>
    <t>HKR9W0</t>
  </si>
  <si>
    <t>Maxikiosco Gaby</t>
  </si>
  <si>
    <t>Av. Comodoro Martín Rivadavia 2222 -</t>
  </si>
  <si>
    <t>-34.54769897460938,-58.46670150756836</t>
  </si>
  <si>
    <t>4OVCIF</t>
  </si>
  <si>
    <t>Grido Helados - 4201 - Saavedra I</t>
  </si>
  <si>
    <t>Av. Crámer 3690 -</t>
  </si>
  <si>
    <t>-34.55070114135742,-58.4734001159668</t>
  </si>
  <si>
    <t>HKK9G1</t>
  </si>
  <si>
    <t>Mas Farmacia</t>
  </si>
  <si>
    <t>crisologo larralde 3195 -</t>
  </si>
  <si>
    <t>-34.5526021181661,-58.47503429999998</t>
  </si>
  <si>
    <t>HKW38O</t>
  </si>
  <si>
    <t>Mi Gusto Empanadas y Pizza Belgrano</t>
  </si>
  <si>
    <t>Av. Dr. Ricardo Balbín 2395</t>
  </si>
  <si>
    <t>-34.56269836425781,-58.46480178833008</t>
  </si>
  <si>
    <t>HKRDRI</t>
  </si>
  <si>
    <t>Grido Helados - 5028 - Belgrano</t>
  </si>
  <si>
    <t>Av. Dr. Ricardo Balbín 2442 -</t>
  </si>
  <si>
    <t>-34.5625,-58.46580123901367</t>
  </si>
  <si>
    <t>HKAFVG</t>
  </si>
  <si>
    <t>Grido Helados - 5045 - Coghlan</t>
  </si>
  <si>
    <t>AV. RICARDO BALBIN 4186 -</t>
  </si>
  <si>
    <t>-34.55519866943359,-58.49029922485352</t>
  </si>
  <si>
    <t>HKPSE8</t>
  </si>
  <si>
    <t>365 Kiosco Santa Fe 4096</t>
  </si>
  <si>
    <t>Av. Santa Fe 4100 -</t>
  </si>
  <si>
    <t>-34.58195515,-58.4207892</t>
  </si>
  <si>
    <t>HKKC51</t>
  </si>
  <si>
    <t>Subway Plaza Italia</t>
  </si>
  <si>
    <t>Av. Santa Fe 4116 -</t>
  </si>
  <si>
    <t>-34.5819279,-58.42112550000002</t>
  </si>
  <si>
    <t>4OVPEI</t>
  </si>
  <si>
    <t>Subway- Palermo Av. Santa Fe 4974 - 59766</t>
  </si>
  <si>
    <t>Av. Santa Fe 4974 -</t>
  </si>
  <si>
    <t>-34.57730103,-58.42990112</t>
  </si>
  <si>
    <t>HKKB5E</t>
  </si>
  <si>
    <t>La Payada Belgrano</t>
  </si>
  <si>
    <t>Avenida Monroe 2912 -</t>
  </si>
  <si>
    <t>-34.56115165,-58.4648309</t>
  </si>
  <si>
    <t>HKLHKQ</t>
  </si>
  <si>
    <t>Shami Shawarma Santa Fé</t>
  </si>
  <si>
    <t>Avenida Santa Fe 3405 -</t>
  </si>
  <si>
    <t>-34.5867812,-58.4131648</t>
  </si>
  <si>
    <t>HK8KQ7</t>
  </si>
  <si>
    <t>DIA Maxi - Palermo</t>
  </si>
  <si>
    <t>Avenida Santa Fe 4550 -</t>
  </si>
  <si>
    <t>-34.5790789,-58.42486820000001</t>
  </si>
  <si>
    <t>HKPE4V</t>
  </si>
  <si>
    <t>Freddo Ayacucho</t>
  </si>
  <si>
    <t>Ayacucho 1906 -</t>
  </si>
  <si>
    <t>-34.58840179443359,-58.38999938964844</t>
  </si>
  <si>
    <t>HKEMPP</t>
  </si>
  <si>
    <t>Carrefour - Market Beruti</t>
  </si>
  <si>
    <t>Beruti 2951 -</t>
  </si>
  <si>
    <t>-34.5900316,-58.40573465</t>
  </si>
  <si>
    <t>HKEA17</t>
  </si>
  <si>
    <t>MandaleFruta - Recoleta</t>
  </si>
  <si>
    <t>Billinghurst 2214 -</t>
  </si>
  <si>
    <t>-34.58611139999999,-58.40661369999998</t>
  </si>
  <si>
    <t>HKUJUG</t>
  </si>
  <si>
    <t>Tercera Docena Empanadas Belgrano</t>
  </si>
  <si>
    <t>Blanco Encalada 2118 -</t>
  </si>
  <si>
    <t>-34.5577445,-58.4563764</t>
  </si>
  <si>
    <t>HK71R9</t>
  </si>
  <si>
    <t>Brozziano Empanadas - Palermo</t>
  </si>
  <si>
    <t>Bonpland 1699 -</t>
  </si>
  <si>
    <t>-34.58348600000001,-58.437321</t>
  </si>
  <si>
    <t>HKKCFB</t>
  </si>
  <si>
    <t>365 Kiosco Cabildo 2398</t>
  </si>
  <si>
    <t>Avenida Cabildo 2401 -</t>
  </si>
  <si>
    <t>-34.5592155,-58.459137</t>
  </si>
  <si>
    <t>HK8QDI</t>
  </si>
  <si>
    <t>Brozziano Empanadas - Recoleta</t>
  </si>
  <si>
    <t>Charcas 2602 -</t>
  </si>
  <si>
    <t>-34.595225,-58.4041613</t>
  </si>
  <si>
    <t>4OV25N</t>
  </si>
  <si>
    <t>El Buen Gourmet</t>
  </si>
  <si>
    <t>Charcas 4063 -</t>
  </si>
  <si>
    <t>-34.58553899999999,-58.42051500000002</t>
  </si>
  <si>
    <t>HKL29X</t>
  </si>
  <si>
    <t>OutletBar Belgrano</t>
  </si>
  <si>
    <t>VIRREY DEL PINO 2667 -</t>
  </si>
  <si>
    <t>-34.56790161132813,-58.45539855957031</t>
  </si>
  <si>
    <t>4OXKDH</t>
  </si>
  <si>
    <t>Temple Burger Soho</t>
  </si>
  <si>
    <t>Costa Rica 4699 -</t>
  </si>
  <si>
    <t>-34.58800125,-58.42689896</t>
  </si>
  <si>
    <t>HKKCT0</t>
  </si>
  <si>
    <t>365 Kiosco Darregueyra 2199</t>
  </si>
  <si>
    <t>Darregueyra 2199</t>
  </si>
  <si>
    <t>-34.58309936523438,-58.42639923095703</t>
  </si>
  <si>
    <t>4OXZLP</t>
  </si>
  <si>
    <t>Tercera Docena Empanadas Palermo</t>
  </si>
  <si>
    <t>El salvador 5800 -</t>
  </si>
  <si>
    <t>-34.5818539,-58.4373938</t>
  </si>
  <si>
    <t>HKEA1C</t>
  </si>
  <si>
    <t>MandaleFruta - Belgrano</t>
  </si>
  <si>
    <t>Franklin D. Roosevelt 2523, Buenos Aires, Argentina -</t>
  </si>
  <si>
    <t>-34.55828297736034,-58.46173520000001</t>
  </si>
  <si>
    <t>HZ8375</t>
  </si>
  <si>
    <t>Brozziano Empandas - Gascón</t>
  </si>
  <si>
    <t>Av. Raúl Scalabrini Ortiz 2110, C1425DBP Cdad. Autónoma de Buenos Aires, Argentina -</t>
  </si>
  <si>
    <t>-34.58756899999999,-58.42009059999999</t>
  </si>
  <si>
    <t>HKJJH9</t>
  </si>
  <si>
    <t>La Juvenil - Palermo</t>
  </si>
  <si>
    <t>Güemes 4401</t>
  </si>
  <si>
    <t>-34.58280181884766,-58.42200088500977</t>
  </si>
  <si>
    <t>HKLCDH</t>
  </si>
  <si>
    <t>El Gourmet de Shanghai - Palermo</t>
  </si>
  <si>
    <t>Honduras 4169 -</t>
  </si>
  <si>
    <t>-34.59416875000001,-58.422213</t>
  </si>
  <si>
    <t>HKK9HK</t>
  </si>
  <si>
    <t>La Nueva Guimpi Pizzería Tradicional</t>
  </si>
  <si>
    <t>Jerónimo Salguero 1712 -</t>
  </si>
  <si>
    <t>-34.5900993347168,-58.41690063476563</t>
  </si>
  <si>
    <t>HKRC8C</t>
  </si>
  <si>
    <t>365 Kiosco Julian Alvarez 2699</t>
  </si>
  <si>
    <t>Julián Álvarez 2699 -</t>
  </si>
  <si>
    <t>-34.58530044555664,-58.41249847412109</t>
  </si>
  <si>
    <t>HKRC6W</t>
  </si>
  <si>
    <t>365 Kiosco Juncal 2601</t>
  </si>
  <si>
    <t>Juncal 2601</t>
  </si>
  <si>
    <t>-34.5901985168457,-58.40330123901367</t>
  </si>
  <si>
    <t>HKRC68</t>
  </si>
  <si>
    <t>365 Kiosco Junin 1400</t>
  </si>
  <si>
    <t>Junín 1400</t>
  </si>
  <si>
    <t>-34.59170150756836,-58.39599990844727</t>
  </si>
  <si>
    <t>HKPMGI</t>
  </si>
  <si>
    <t>Kioscos The Best Juramento</t>
  </si>
  <si>
    <t>Juramento 1401</t>
  </si>
  <si>
    <t>-34.55599975585938,-58.44670104980469</t>
  </si>
  <si>
    <t>4OVEIH</t>
  </si>
  <si>
    <t>Faricci Helados Belgrano</t>
  </si>
  <si>
    <t>Juramento 1551 -</t>
  </si>
  <si>
    <t>-34.55690002,-58.44839859</t>
  </si>
  <si>
    <t>HK6M7T</t>
  </si>
  <si>
    <t>Luz Azul - Belgrano</t>
  </si>
  <si>
    <t>Juramento 2446 -</t>
  </si>
  <si>
    <t>-34.56241765,-58.45736475</t>
  </si>
  <si>
    <t>HK6Q1S</t>
  </si>
  <si>
    <t>Brozziano Empanadas - Belgrano</t>
  </si>
  <si>
    <t>Juramento 2460 -</t>
  </si>
  <si>
    <t>-34.56247805,-58.45740600000001</t>
  </si>
  <si>
    <t>HLI2WE</t>
  </si>
  <si>
    <t>Los Inmortales - Mendoza</t>
  </si>
  <si>
    <t>Mendoza 2338 -</t>
  </si>
  <si>
    <t>-34.56079864501953,-58.45690155029297</t>
  </si>
  <si>
    <t>4OVPV0</t>
  </si>
  <si>
    <t>Mostaza Madero Olga Cossetini 1695</t>
  </si>
  <si>
    <t>piepierina Dealessi 1502 -</t>
  </si>
  <si>
    <t>Puerto Madero</t>
  </si>
  <si>
    <t>-34.61750030517578,-58.36289978027344</t>
  </si>
  <si>
    <t>4OVJVL</t>
  </si>
  <si>
    <t>Los Inmortales - Paraná</t>
  </si>
  <si>
    <t>Paraná 1209 -</t>
  </si>
  <si>
    <t>-34.59449835,-58.38856800000001</t>
  </si>
  <si>
    <t>4OV8A3</t>
  </si>
  <si>
    <t>Nero Mocca Helados &amp; Café</t>
  </si>
  <si>
    <t>Raúl Scalabrini Ortíz 2299 -</t>
  </si>
  <si>
    <t>-34.5869304,-58.41878320000001</t>
  </si>
  <si>
    <t>HK4XSZ</t>
  </si>
  <si>
    <t>Sushi Pop - Barrio Norte</t>
  </si>
  <si>
    <t>AV. Cnel. Díaz 1426 -</t>
  </si>
  <si>
    <t>-34.59369949999999,-58.41425359999999</t>
  </si>
  <si>
    <t>HKPSE6</t>
  </si>
  <si>
    <t>365 Kiosco Vidal 2300</t>
  </si>
  <si>
    <t>Vidal 2300 -</t>
  </si>
  <si>
    <t>-34.56230163574219,-58.46189880371094</t>
  </si>
  <si>
    <t>4FYFBG</t>
  </si>
  <si>
    <t>Tienda De Helados- Recoleta</t>
  </si>
  <si>
    <t>Junín 1617, C1113AAQ Cdad. Autónoma de Buenos Aires, Argentina -</t>
  </si>
  <si>
    <t>-34.5898119,-58.3936257</t>
  </si>
  <si>
    <t>HZO1RB</t>
  </si>
  <si>
    <t>Lv 75</t>
  </si>
  <si>
    <t>Avenida Pueyrredón 1078 -</t>
  </si>
  <si>
    <t>-34.5977857,-58.40347935000001</t>
  </si>
  <si>
    <t>HWJQCY</t>
  </si>
  <si>
    <t>La Payada - Recoleta</t>
  </si>
  <si>
    <t>Av. Callao 1391 -</t>
  </si>
  <si>
    <t>-34.59284049999999,-58.39285755</t>
  </si>
  <si>
    <t>Partners Partner ID</t>
  </si>
  <si>
    <t>Partners Salesforce ID</t>
  </si>
  <si>
    <t>Partners Partner name</t>
  </si>
  <si>
    <t>Partners Business name</t>
  </si>
  <si>
    <t>Partners Is online (Yes / No)</t>
  </si>
  <si>
    <t>Partners Is key account (Yes / No)</t>
  </si>
  <si>
    <t>Partners Phone</t>
  </si>
  <si>
    <t>Direccion</t>
  </si>
  <si>
    <t>Partner Location State Name</t>
  </si>
  <si>
    <t>Partner Location City name</t>
  </si>
  <si>
    <t>Partner Location Area Name</t>
  </si>
  <si>
    <t>Partners First Date Online Date</t>
  </si>
  <si>
    <t>Partners Location</t>
  </si>
  <si>
    <t>Agencia Instala</t>
  </si>
  <si>
    <t>4MC8KF</t>
  </si>
  <si>
    <t>Carrefour - Market Villa Rosa (505)</t>
  </si>
  <si>
    <t>+5491111111111</t>
  </si>
  <si>
    <t>Ruta 25 6500, Pilar -</t>
  </si>
  <si>
    <t>-34.3960276,-58.8447417</t>
  </si>
  <si>
    <t>Ok</t>
  </si>
  <si>
    <t>4MK0FF</t>
  </si>
  <si>
    <t>Carrefour - Hiper Roosevelt (220)</t>
  </si>
  <si>
    <t>+5491150107487</t>
  </si>
  <si>
    <t>Franklin D. Roosevelt 5749, C1431 Cdad. Autónoma de Buenos Aires, Argentina -</t>
  </si>
  <si>
    <t>-34.57733775,-58.49454005</t>
  </si>
  <si>
    <t>4MK0FU</t>
  </si>
  <si>
    <t>Carrefour - Hiper Merlo (42)</t>
  </si>
  <si>
    <t>+549115010487</t>
  </si>
  <si>
    <t>Avenida Argentina 1915, B1722MIB Merlo, Provincia de Buenos Aires, Argentina -</t>
  </si>
  <si>
    <t>-34.67926915,-58.728491</t>
  </si>
  <si>
    <t>4MLRM4</t>
  </si>
  <si>
    <t>Carrefour - Hiper City Bell (08)</t>
  </si>
  <si>
    <t>Cno. Gral. Belgrano entre 514 y 517, B1897 La Plata, Provincia de Buenos Aires -</t>
  </si>
  <si>
    <t>-34.8942945,-57.9962884</t>
  </si>
  <si>
    <t>4MS3HD</t>
  </si>
  <si>
    <t>Carrefour - Market Tortuguitas (708)</t>
  </si>
  <si>
    <t>Brasil 2598 - Colectora Oeste Ramal Pilar, Brasil -</t>
  </si>
  <si>
    <t>-34.45714516578627,-58.72521494047546</t>
  </si>
  <si>
    <t>4MYZI1</t>
  </si>
  <si>
    <t>Carrefour - Hiper Martín Coronado (47)</t>
  </si>
  <si>
    <t>Pres. Juan Domingo Perón 7055, B1683 Martín Coronado, Provincia de Buenos Aires -</t>
  </si>
  <si>
    <t>3 de Febrero</t>
  </si>
  <si>
    <t>Martín Coronado</t>
  </si>
  <si>
    <t>-34.5864609,-58.5923526</t>
  </si>
  <si>
    <t>4OX453</t>
  </si>
  <si>
    <t>Carrefour - Hiper Florencio Varela (49)</t>
  </si>
  <si>
    <t>+5491167903382</t>
  </si>
  <si>
    <t>Av. Gral. José de San Martín 554 554 -</t>
  </si>
  <si>
    <t>-34.7794466633,-58.2786863</t>
  </si>
  <si>
    <t>HADQMG</t>
  </si>
  <si>
    <t>Carrefour - Market Cabildo (120)</t>
  </si>
  <si>
    <t>+5491134212311</t>
  </si>
  <si>
    <t>Av. Cabildo 2441 -</t>
  </si>
  <si>
    <t>-34.5586787,-58.45930910000001</t>
  </si>
  <si>
    <t>HAIROD</t>
  </si>
  <si>
    <t>Carrefour - Hiper Velez Sarfield (5)</t>
  </si>
  <si>
    <t>Av. Álvarez Jonte 6383, C1408 Cdad. Autónoma de Buenos Aires -</t>
  </si>
  <si>
    <t>-34.6329755,-58.5221573</t>
  </si>
  <si>
    <t>HAIUHI</t>
  </si>
  <si>
    <t>Carrefour - Hiper Adrogue (23)</t>
  </si>
  <si>
    <t>+5491133124928</t>
  </si>
  <si>
    <t>Av. Hipólito Yrigoyen 13500, B1846 Adrogué, Provincia de Buenos Aires -</t>
  </si>
  <si>
    <t>-34.8129066,-58.4013367</t>
  </si>
  <si>
    <t>HAIUW8</t>
  </si>
  <si>
    <t>Carrefour - Hiper San Fernando (25)</t>
  </si>
  <si>
    <t>Hipólito Yrigoyen y Acceso tigre, RP202, B1646 San Fernando, Provincia de Buenos Aires -</t>
  </si>
  <si>
    <t>-34.4547517,-58.576005</t>
  </si>
  <si>
    <t>HK5L4J</t>
  </si>
  <si>
    <t>Carrefour - Market Bahía Blanca (114)</t>
  </si>
  <si>
    <t>+5491167918271</t>
  </si>
  <si>
    <t>Brown 51 -</t>
  </si>
  <si>
    <t>-38.72050094604492,-62.2677001953125</t>
  </si>
  <si>
    <t>Interior ok</t>
  </si>
  <si>
    <t>HKEMSG</t>
  </si>
  <si>
    <t>Carrefour - Market Flores (115)</t>
  </si>
  <si>
    <t>+5491168419135</t>
  </si>
  <si>
    <t>Av. Rivadavia 6538 -</t>
  </si>
  <si>
    <t>-34.6273603,-58.4583094</t>
  </si>
  <si>
    <t>HKMHBI</t>
  </si>
  <si>
    <t>Carrefour - Hiper Villa Tesei (10)</t>
  </si>
  <si>
    <t>+5491126610207</t>
  </si>
  <si>
    <t>Av. Gdor. Vergara 1910, B1688 Hurlingham, Provincia de Buenos Aires -</t>
  </si>
  <si>
    <t>-34.6205132,-58.63557415</t>
  </si>
  <si>
    <t>HKZHSL</t>
  </si>
  <si>
    <t>Carrefour - Market Mar Del Plata (130)</t>
  </si>
  <si>
    <t>+5491167903538</t>
  </si>
  <si>
    <t>Catamarca 1965</t>
  </si>
  <si>
    <t>-37.9989013671875,-57.5536003112793</t>
  </si>
  <si>
    <t>HRMFE9</t>
  </si>
  <si>
    <t>Carrefour - Hiper San Martín (15)</t>
  </si>
  <si>
    <t>+54911550107487</t>
  </si>
  <si>
    <t>Av. S. Martín 420, C1650 San Martín, Cdad. Autónoma de Buenos Aires -</t>
  </si>
  <si>
    <t>-34.5852979,-58.51856765</t>
  </si>
  <si>
    <t>HRNPYI</t>
  </si>
  <si>
    <t>Carrefour Hiper Warnes (26)</t>
  </si>
  <si>
    <t>+54911533124928</t>
  </si>
  <si>
    <t>Warnes 2707 -</t>
  </si>
  <si>
    <t>-34.59606815,-58.47442885</t>
  </si>
  <si>
    <t>HW06RK</t>
  </si>
  <si>
    <t>Carrefour - Hiper Banfield (52)</t>
  </si>
  <si>
    <t>+5491152597223</t>
  </si>
  <si>
    <t>Las Heras 1163 -</t>
  </si>
  <si>
    <t>-34.74896495,-58.41127395</t>
  </si>
  <si>
    <t>4OV040</t>
  </si>
  <si>
    <t>Carrefour - Market Río Iv (119)</t>
  </si>
  <si>
    <t>+5491167914145</t>
  </si>
  <si>
    <t>Sobremonte 902 -</t>
  </si>
  <si>
    <t>Río Cuarto</t>
  </si>
  <si>
    <t>Rio Cuarto</t>
  </si>
  <si>
    <t>-33.12522555,-64.34921255</t>
  </si>
  <si>
    <t>500 km cordoba</t>
  </si>
  <si>
    <t>HW0VCB</t>
  </si>
  <si>
    <t>Carrefour - Hiper San Isidro (1)</t>
  </si>
  <si>
    <t>+5491167918702</t>
  </si>
  <si>
    <t>Bernardo de Irigoyen 2647 -</t>
  </si>
  <si>
    <t>-34.4906869196,-58.58964395</t>
  </si>
  <si>
    <t>HW0YYM</t>
  </si>
  <si>
    <t>Carrefour - Market Avellaneda (101)</t>
  </si>
  <si>
    <t>+5491167903207</t>
  </si>
  <si>
    <t>Av. Manuel Belgrano 422 -</t>
  </si>
  <si>
    <t>-34.6613681,-58.36826375</t>
  </si>
  <si>
    <t>HW0YYU</t>
  </si>
  <si>
    <t>Carrefour - Hiper San Justo (12)</t>
  </si>
  <si>
    <t>+5491167913313</t>
  </si>
  <si>
    <t>Acceso A Camino de Cintura &amp; Av. Don Bosco -</t>
  </si>
  <si>
    <t>-34.6649502,-58.59739765</t>
  </si>
  <si>
    <t>HW1GUR</t>
  </si>
  <si>
    <t>Carrefour - Hiper Mendoza (29)</t>
  </si>
  <si>
    <t>+5491133963459</t>
  </si>
  <si>
    <t>798 Av. Las Heras -</t>
  </si>
  <si>
    <t>-32.885109,-68.8481884</t>
  </si>
  <si>
    <t>HWK69P</t>
  </si>
  <si>
    <t>Carrefour - Hiper Don Torcuato (234)</t>
  </si>
  <si>
    <t>+5491155250507</t>
  </si>
  <si>
    <t>Av. Ángel T. de Alvear 1960 -</t>
  </si>
  <si>
    <t>-34.4916378,-58.6275323</t>
  </si>
  <si>
    <t>HWLU00</t>
  </si>
  <si>
    <t>Carrefour - Hiper Ingeniero Maschwitz (183)</t>
  </si>
  <si>
    <t>+5491126530643</t>
  </si>
  <si>
    <t>Juan Bautista Alberdi 555 -</t>
  </si>
  <si>
    <t>-34.3961921,-58.7384287</t>
  </si>
  <si>
    <t>HWLUPP</t>
  </si>
  <si>
    <t>Carrefour - Hiper Rincon De Milberg (51)</t>
  </si>
  <si>
    <t>+5491158839823</t>
  </si>
  <si>
    <t>santa maria 4500 , buenos aires -</t>
  </si>
  <si>
    <t>-34.404216,-58.62040285000001</t>
  </si>
  <si>
    <t>HWNFL3</t>
  </si>
  <si>
    <t>Carrefour - Hiper Rosario (32)</t>
  </si>
  <si>
    <t>+5491167919894</t>
  </si>
  <si>
    <t>Av. Pellegrini 3250 -</t>
  </si>
  <si>
    <t>Remedios de Escalada de San Martín</t>
  </si>
  <si>
    <t>-32.9515206,-60.66991545</t>
  </si>
  <si>
    <t>HWR48Q</t>
  </si>
  <si>
    <t>Carrefour - Market Escobar (187)</t>
  </si>
  <si>
    <t>+5491171020562</t>
  </si>
  <si>
    <t>Mateo Gelves 530 -</t>
  </si>
  <si>
    <t>-34.34400350000001,-58.78961155</t>
  </si>
  <si>
    <t>HWRF5J</t>
  </si>
  <si>
    <t>Carrefour - Hiper Bernal (227)</t>
  </si>
  <si>
    <t>+5491126610182</t>
  </si>
  <si>
    <t>Av. Dardo Rocha 849 -</t>
  </si>
  <si>
    <t>-34.7147793,-58.2982067</t>
  </si>
  <si>
    <t>HWRF5R</t>
  </si>
  <si>
    <t>Carrefour - Hiper Ituzaingo (36)</t>
  </si>
  <si>
    <t>+5491171021367</t>
  </si>
  <si>
    <t>Av. Int. Carlos Ratti 1860 -</t>
  </si>
  <si>
    <t>-34.64807579999999,-58.68798629999999</t>
  </si>
  <si>
    <t>HWRF5U</t>
  </si>
  <si>
    <t>Carrefour - Hiper Quilmes (7)</t>
  </si>
  <si>
    <t>+5491166388923</t>
  </si>
  <si>
    <t>Av. La Plata 1400 -</t>
  </si>
  <si>
    <t>-34.73401930000001,-58.27842711761947</t>
  </si>
  <si>
    <t>HWTUL0</t>
  </si>
  <si>
    <t>Carrefour - Hiper Olivos (204)</t>
  </si>
  <si>
    <t>+5491121701236</t>
  </si>
  <si>
    <t>Gdor. Marcelino Ugarte 1980 -</t>
  </si>
  <si>
    <t>-34.51628295,-58.4951367</t>
  </si>
  <si>
    <t>HWUBQP</t>
  </si>
  <si>
    <t>Carrefour - Hiper Moreno (21)</t>
  </si>
  <si>
    <t>+5491167913546</t>
  </si>
  <si>
    <t>Avenida Gaona y Alejandro Graham Bell -</t>
  </si>
  <si>
    <t>-34.6324439,-58.76307955</t>
  </si>
  <si>
    <t>HWUBVS</t>
  </si>
  <si>
    <t>Carrefour - Hiper Malvinas (11)</t>
  </si>
  <si>
    <t>+5491167913722</t>
  </si>
  <si>
    <t>Av. Pres. Arturo Umberto Illia 3770 -</t>
  </si>
  <si>
    <t>-34.52934555,-58.7010926</t>
  </si>
  <si>
    <t>HWUBXG</t>
  </si>
  <si>
    <t>Carrefour - Hiper Pilar (28)</t>
  </si>
  <si>
    <t>+5491167919939</t>
  </si>
  <si>
    <t>Av. Luis Lagomarsino 905 -</t>
  </si>
  <si>
    <t>-34.45632285,-58.8938601</t>
  </si>
  <si>
    <t>HWXPI8</t>
  </si>
  <si>
    <t>Carrefour - Hiper Salguero (6)</t>
  </si>
  <si>
    <t>Jerónimo Salguero 3212 -</t>
  </si>
  <si>
    <t>-34.5744181,-58.4032568</t>
  </si>
  <si>
    <t>HWYV5E</t>
  </si>
  <si>
    <t>Carrefour - Market 9 De Julio (148)</t>
  </si>
  <si>
    <t>+5491155244802</t>
  </si>
  <si>
    <t>Av. Rivadavia 999 -</t>
  </si>
  <si>
    <t>-34.60820007324219,-58.38040161132813</t>
  </si>
  <si>
    <t>HWYVJM</t>
  </si>
  <si>
    <t>Carrefour - Market Malaver (212)</t>
  </si>
  <si>
    <t>+5491155267751</t>
  </si>
  <si>
    <t>América 4006 -</t>
  </si>
  <si>
    <t>-34.5576553,-58.55099375</t>
  </si>
  <si>
    <t>HZE503</t>
  </si>
  <si>
    <t>Carrefour - Hiper Guaymallen (17)</t>
  </si>
  <si>
    <t>+5491171021673</t>
  </si>
  <si>
    <t>Lateral Sur del Acceso Este &amp; Rondeau -</t>
  </si>
  <si>
    <t>-32.90794487964648,-68.7889998</t>
  </si>
  <si>
    <t>Backlight</t>
  </si>
  <si>
    <t>Fecha Backlight</t>
  </si>
  <si>
    <t>Colocado</t>
  </si>
  <si>
    <t>Rechazado</t>
  </si>
  <si>
    <t>4C0QFM</t>
  </si>
  <si>
    <t>Ugi´s - Av. Alvarez Thomas</t>
  </si>
  <si>
    <t>Av. Álvarez Thomas 999 -</t>
  </si>
  <si>
    <t>-34.57890470873831,-58.4558845</t>
  </si>
  <si>
    <t>HT6PXT</t>
  </si>
  <si>
    <t>La Causa Nikkei Villa Urquiza.</t>
  </si>
  <si>
    <t>Bucarelli 2662 -</t>
  </si>
  <si>
    <t>-34.57364355,-58.4904201681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</si>
</sst>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d/m/yyyy"/>
    <numFmt numFmtId="166" formatCode="dd/mm/yyyy"/>
    <numFmt numFmtId="167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3" fontId="3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5"/>
    <col customWidth="1" min="12" max="12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f>+54903564479010</f>
        <v>54903564479010</v>
      </c>
      <c r="G2" s="2" t="s">
        <v>17</v>
      </c>
      <c r="H2" s="2" t="s">
        <v>18</v>
      </c>
      <c r="I2" s="2" t="s">
        <v>19</v>
      </c>
      <c r="J2" s="2" t="s">
        <v>19</v>
      </c>
      <c r="K2" s="4">
        <v>44932.0</v>
      </c>
      <c r="L2" s="2" t="s">
        <v>20</v>
      </c>
    </row>
    <row r="3">
      <c r="A3" s="2" t="s">
        <v>21</v>
      </c>
      <c r="B3" s="2" t="s">
        <v>22</v>
      </c>
      <c r="C3" s="2" t="s">
        <v>14</v>
      </c>
      <c r="D3" s="2" t="s">
        <v>15</v>
      </c>
      <c r="E3" s="2" t="s">
        <v>23</v>
      </c>
      <c r="F3" s="3">
        <f>+5491166078813</f>
        <v>5491166078813</v>
      </c>
      <c r="G3" s="2" t="s">
        <v>24</v>
      </c>
      <c r="H3" s="2" t="s">
        <v>25</v>
      </c>
      <c r="I3" s="2" t="s">
        <v>26</v>
      </c>
      <c r="J3" s="2" t="s">
        <v>27</v>
      </c>
      <c r="K3" s="4">
        <v>45028.0</v>
      </c>
      <c r="L3" s="2" t="s">
        <v>28</v>
      </c>
    </row>
    <row r="4">
      <c r="A4" s="2" t="s">
        <v>29</v>
      </c>
      <c r="B4" s="2" t="s">
        <v>30</v>
      </c>
      <c r="C4" s="2" t="s">
        <v>14</v>
      </c>
      <c r="D4" s="2" t="s">
        <v>15</v>
      </c>
      <c r="E4" s="2" t="s">
        <v>23</v>
      </c>
      <c r="F4" s="3">
        <f>+5491150385017</f>
        <v>5491150385017</v>
      </c>
      <c r="G4" s="2" t="s">
        <v>31</v>
      </c>
      <c r="H4" s="2" t="s">
        <v>32</v>
      </c>
      <c r="I4" s="2" t="s">
        <v>25</v>
      </c>
      <c r="J4" s="2" t="s">
        <v>33</v>
      </c>
      <c r="K4" s="4">
        <v>45131.0</v>
      </c>
      <c r="L4" s="2" t="s">
        <v>34</v>
      </c>
    </row>
    <row r="5">
      <c r="A5" s="2" t="s">
        <v>35</v>
      </c>
      <c r="B5" s="2" t="s">
        <v>36</v>
      </c>
      <c r="C5" s="2" t="s">
        <v>14</v>
      </c>
      <c r="D5" s="2" t="s">
        <v>15</v>
      </c>
      <c r="E5" s="2" t="s">
        <v>23</v>
      </c>
      <c r="F5" s="3">
        <f>+5491127609449</f>
        <v>5491127609449</v>
      </c>
      <c r="G5" s="2" t="s">
        <v>37</v>
      </c>
      <c r="H5" s="2" t="s">
        <v>25</v>
      </c>
      <c r="I5" s="2" t="s">
        <v>38</v>
      </c>
      <c r="J5" s="2" t="s">
        <v>39</v>
      </c>
      <c r="K5" s="4">
        <v>45316.0</v>
      </c>
      <c r="L5" s="2" t="s">
        <v>40</v>
      </c>
    </row>
    <row r="6">
      <c r="A6" s="2" t="s">
        <v>41</v>
      </c>
      <c r="B6" s="2" t="s">
        <v>42</v>
      </c>
      <c r="C6" s="2" t="s">
        <v>14</v>
      </c>
      <c r="D6" s="2" t="s">
        <v>15</v>
      </c>
      <c r="E6" s="2" t="s">
        <v>23</v>
      </c>
      <c r="F6" s="3">
        <f>+5492215652723</f>
        <v>5492215652723</v>
      </c>
      <c r="G6" s="2" t="s">
        <v>43</v>
      </c>
      <c r="H6" s="2" t="s">
        <v>25</v>
      </c>
      <c r="I6" s="2" t="s">
        <v>44</v>
      </c>
      <c r="J6" s="2" t="s">
        <v>44</v>
      </c>
      <c r="K6" s="4">
        <v>45545.0</v>
      </c>
      <c r="L6" s="2" t="s">
        <v>45</v>
      </c>
    </row>
    <row r="7">
      <c r="A7" s="2" t="s">
        <v>46</v>
      </c>
      <c r="B7" s="2" t="s">
        <v>47</v>
      </c>
      <c r="C7" s="2" t="s">
        <v>14</v>
      </c>
      <c r="D7" s="2" t="s">
        <v>15</v>
      </c>
      <c r="E7" s="2" t="s">
        <v>23</v>
      </c>
      <c r="F7" s="3">
        <f>+5491171078939</f>
        <v>5491171078939</v>
      </c>
      <c r="G7" s="2" t="s">
        <v>48</v>
      </c>
      <c r="H7" s="2" t="s">
        <v>25</v>
      </c>
      <c r="I7" s="2" t="s">
        <v>49</v>
      </c>
      <c r="J7" s="2" t="s">
        <v>50</v>
      </c>
      <c r="K7" s="4">
        <v>45701.0</v>
      </c>
      <c r="L7" s="2" t="s">
        <v>51</v>
      </c>
    </row>
    <row r="8">
      <c r="A8" s="2" t="s">
        <v>52</v>
      </c>
      <c r="B8" s="2" t="s">
        <v>53</v>
      </c>
      <c r="C8" s="2" t="s">
        <v>14</v>
      </c>
      <c r="D8" s="2" t="s">
        <v>15</v>
      </c>
      <c r="E8" s="2" t="s">
        <v>16</v>
      </c>
      <c r="F8" s="3">
        <f>+5493814387041</f>
        <v>5493814387041</v>
      </c>
      <c r="G8" s="2" t="s">
        <v>54</v>
      </c>
      <c r="H8" s="2" t="s">
        <v>55</v>
      </c>
      <c r="I8" s="2" t="s">
        <v>56</v>
      </c>
      <c r="J8" s="2" t="s">
        <v>56</v>
      </c>
      <c r="K8" s="4">
        <v>45552.0</v>
      </c>
      <c r="L8" s="2" t="s">
        <v>57</v>
      </c>
    </row>
    <row r="9">
      <c r="A9" s="2" t="s">
        <v>58</v>
      </c>
      <c r="B9" s="2" t="s">
        <v>59</v>
      </c>
      <c r="C9" s="2" t="s">
        <v>14</v>
      </c>
      <c r="D9" s="2" t="s">
        <v>15</v>
      </c>
      <c r="E9" s="2" t="s">
        <v>23</v>
      </c>
      <c r="F9" s="3">
        <f>+5493564659229</f>
        <v>5493564659229</v>
      </c>
      <c r="G9" s="2" t="s">
        <v>60</v>
      </c>
      <c r="H9" s="2" t="s">
        <v>18</v>
      </c>
      <c r="I9" s="2" t="s">
        <v>19</v>
      </c>
      <c r="J9" s="2" t="s">
        <v>19</v>
      </c>
      <c r="K9" s="4">
        <v>45799.0</v>
      </c>
      <c r="L9" s="2" t="s">
        <v>61</v>
      </c>
    </row>
    <row r="10">
      <c r="A10" s="2" t="s">
        <v>62</v>
      </c>
      <c r="B10" s="2" t="s">
        <v>63</v>
      </c>
      <c r="C10" s="2" t="s">
        <v>14</v>
      </c>
      <c r="D10" s="2" t="s">
        <v>15</v>
      </c>
      <c r="E10" s="2" t="s">
        <v>23</v>
      </c>
      <c r="F10" s="3">
        <f>+5493413046467</f>
        <v>5493413046467</v>
      </c>
      <c r="G10" s="2" t="s">
        <v>64</v>
      </c>
      <c r="H10" s="2" t="s">
        <v>65</v>
      </c>
      <c r="I10" s="2" t="s">
        <v>66</v>
      </c>
      <c r="J10" s="2" t="s">
        <v>66</v>
      </c>
      <c r="K10" s="4">
        <v>45898.0</v>
      </c>
      <c r="L10" s="2" t="s">
        <v>67</v>
      </c>
    </row>
    <row r="11">
      <c r="A11" s="2" t="s">
        <v>68</v>
      </c>
      <c r="B11" s="2" t="s">
        <v>69</v>
      </c>
      <c r="C11" s="2" t="s">
        <v>14</v>
      </c>
      <c r="D11" s="2" t="s">
        <v>15</v>
      </c>
      <c r="E11" s="2" t="s">
        <v>23</v>
      </c>
      <c r="F11" s="3">
        <f>+5492615128446</f>
        <v>5492615128446</v>
      </c>
      <c r="G11" s="2" t="s">
        <v>70</v>
      </c>
      <c r="H11" s="2" t="s">
        <v>71</v>
      </c>
      <c r="I11" s="2" t="s">
        <v>72</v>
      </c>
      <c r="J11" s="2" t="s">
        <v>73</v>
      </c>
      <c r="K11" s="4">
        <v>45931.0</v>
      </c>
      <c r="L11" s="2" t="s">
        <v>74</v>
      </c>
    </row>
    <row r="12">
      <c r="A12" s="2" t="s">
        <v>75</v>
      </c>
      <c r="B12" s="2" t="s">
        <v>76</v>
      </c>
      <c r="C12" s="2" t="s">
        <v>14</v>
      </c>
      <c r="D12" s="2" t="s">
        <v>15</v>
      </c>
      <c r="E12" s="2" t="s">
        <v>16</v>
      </c>
      <c r="F12" s="3">
        <f>+5492214377432</f>
        <v>5492214377432</v>
      </c>
      <c r="G12" s="2" t="s">
        <v>77</v>
      </c>
      <c r="H12" s="2" t="s">
        <v>25</v>
      </c>
      <c r="I12" s="2" t="s">
        <v>78</v>
      </c>
      <c r="J12" s="2" t="s">
        <v>79</v>
      </c>
      <c r="K12" s="4">
        <v>46001.0</v>
      </c>
      <c r="L12" s="2" t="s">
        <v>80</v>
      </c>
    </row>
    <row r="13">
      <c r="A13" s="2" t="s">
        <v>81</v>
      </c>
      <c r="B13" s="2" t="s">
        <v>82</v>
      </c>
      <c r="C13" s="2" t="s">
        <v>14</v>
      </c>
      <c r="D13" s="2" t="s">
        <v>15</v>
      </c>
      <c r="E13" s="2" t="s">
        <v>16</v>
      </c>
      <c r="F13" s="3">
        <f t="shared" ref="F13:F15" si="1">+5491167968530</f>
        <v>5491167968530</v>
      </c>
      <c r="G13" s="2" t="s">
        <v>83</v>
      </c>
      <c r="H13" s="2" t="s">
        <v>25</v>
      </c>
      <c r="I13" s="2" t="s">
        <v>84</v>
      </c>
      <c r="J13" s="2" t="s">
        <v>85</v>
      </c>
      <c r="K13" s="4">
        <v>46064.0</v>
      </c>
      <c r="L13" s="2" t="s">
        <v>86</v>
      </c>
    </row>
    <row r="14">
      <c r="A14" s="2" t="s">
        <v>87</v>
      </c>
      <c r="B14" s="2" t="s">
        <v>88</v>
      </c>
      <c r="C14" s="2" t="s">
        <v>14</v>
      </c>
      <c r="D14" s="2" t="s">
        <v>15</v>
      </c>
      <c r="E14" s="2" t="s">
        <v>16</v>
      </c>
      <c r="F14" s="3">
        <f t="shared" si="1"/>
        <v>5491167968530</v>
      </c>
      <c r="G14" s="2" t="s">
        <v>89</v>
      </c>
      <c r="H14" s="2" t="s">
        <v>25</v>
      </c>
      <c r="I14" s="2" t="s">
        <v>84</v>
      </c>
      <c r="J14" s="2" t="s">
        <v>85</v>
      </c>
      <c r="K14" s="4">
        <v>46064.0</v>
      </c>
      <c r="L14" s="2" t="s">
        <v>90</v>
      </c>
    </row>
    <row r="15">
      <c r="A15" s="2" t="s">
        <v>91</v>
      </c>
      <c r="B15" s="2" t="s">
        <v>92</v>
      </c>
      <c r="C15" s="2" t="s">
        <v>14</v>
      </c>
      <c r="D15" s="2" t="s">
        <v>15</v>
      </c>
      <c r="E15" s="2" t="s">
        <v>16</v>
      </c>
      <c r="F15" s="3">
        <f t="shared" si="1"/>
        <v>5491167968530</v>
      </c>
      <c r="G15" s="2" t="s">
        <v>89</v>
      </c>
      <c r="H15" s="2" t="s">
        <v>25</v>
      </c>
      <c r="I15" s="2" t="s">
        <v>84</v>
      </c>
      <c r="J15" s="2" t="s">
        <v>85</v>
      </c>
      <c r="K15" s="4">
        <v>46064.0</v>
      </c>
      <c r="L15" s="2" t="s">
        <v>93</v>
      </c>
    </row>
    <row r="16">
      <c r="A16" s="2" t="s">
        <v>94</v>
      </c>
      <c r="B16" s="2" t="s">
        <v>95</v>
      </c>
      <c r="C16" s="2" t="s">
        <v>14</v>
      </c>
      <c r="D16" s="2" t="s">
        <v>15</v>
      </c>
      <c r="E16" s="2" t="s">
        <v>16</v>
      </c>
      <c r="F16" s="3">
        <f>+5491168662776</f>
        <v>5491168662776</v>
      </c>
      <c r="G16" s="2" t="s">
        <v>96</v>
      </c>
      <c r="H16" s="2" t="s">
        <v>25</v>
      </c>
      <c r="I16" s="2" t="s">
        <v>97</v>
      </c>
      <c r="J16" s="2" t="s">
        <v>98</v>
      </c>
      <c r="K16" s="4">
        <v>46063.0</v>
      </c>
      <c r="L16" s="2" t="s">
        <v>99</v>
      </c>
    </row>
    <row r="17">
      <c r="A17" s="2" t="s">
        <v>100</v>
      </c>
      <c r="B17" s="2" t="s">
        <v>101</v>
      </c>
      <c r="C17" s="2" t="s">
        <v>14</v>
      </c>
      <c r="D17" s="2" t="s">
        <v>15</v>
      </c>
      <c r="E17" s="2" t="s">
        <v>16</v>
      </c>
      <c r="F17" s="3">
        <f>+5491111111111</f>
        <v>5491111111111</v>
      </c>
      <c r="G17" s="2" t="s">
        <v>102</v>
      </c>
      <c r="H17" s="2" t="s">
        <v>25</v>
      </c>
      <c r="I17" s="2" t="s">
        <v>38</v>
      </c>
      <c r="J17" s="2" t="s">
        <v>103</v>
      </c>
      <c r="K17" s="4">
        <v>46063.0</v>
      </c>
      <c r="L17" s="2" t="s">
        <v>104</v>
      </c>
    </row>
    <row r="18">
      <c r="A18" s="2" t="s">
        <v>105</v>
      </c>
      <c r="B18" s="2" t="s">
        <v>106</v>
      </c>
      <c r="C18" s="2" t="s">
        <v>14</v>
      </c>
      <c r="D18" s="2" t="s">
        <v>15</v>
      </c>
      <c r="E18" s="2" t="s">
        <v>16</v>
      </c>
      <c r="F18" s="3">
        <f>+5491168662776</f>
        <v>5491168662776</v>
      </c>
      <c r="G18" s="2" t="s">
        <v>96</v>
      </c>
      <c r="H18" s="2" t="s">
        <v>25</v>
      </c>
      <c r="I18" s="2" t="s">
        <v>97</v>
      </c>
      <c r="J18" s="2" t="s">
        <v>98</v>
      </c>
      <c r="K18" s="4">
        <v>46063.0</v>
      </c>
      <c r="L18" s="2" t="s">
        <v>99</v>
      </c>
    </row>
    <row r="19">
      <c r="A19" s="2" t="s">
        <v>107</v>
      </c>
      <c r="B19" s="2" t="s">
        <v>108</v>
      </c>
      <c r="C19" s="2" t="s">
        <v>14</v>
      </c>
      <c r="D19" s="2" t="s">
        <v>15</v>
      </c>
      <c r="E19" s="2" t="s">
        <v>16</v>
      </c>
      <c r="F19" s="3">
        <f>+5491111111111</f>
        <v>5491111111111</v>
      </c>
      <c r="G19" s="2" t="s">
        <v>102</v>
      </c>
      <c r="H19" s="2" t="s">
        <v>25</v>
      </c>
      <c r="I19" s="2" t="s">
        <v>38</v>
      </c>
      <c r="J19" s="2" t="s">
        <v>103</v>
      </c>
      <c r="K19" s="4">
        <v>46063.0</v>
      </c>
      <c r="L19" s="2" t="s">
        <v>109</v>
      </c>
    </row>
    <row r="20">
      <c r="A20" s="2" t="s">
        <v>110</v>
      </c>
      <c r="B20" s="2" t="s">
        <v>111</v>
      </c>
      <c r="C20" s="2" t="s">
        <v>14</v>
      </c>
      <c r="D20" s="2" t="s">
        <v>15</v>
      </c>
      <c r="E20" s="2" t="s">
        <v>16</v>
      </c>
      <c r="F20" s="3">
        <f>+5492302443251</f>
        <v>5492302443251</v>
      </c>
      <c r="G20" s="2" t="s">
        <v>112</v>
      </c>
      <c r="H20" s="2" t="s">
        <v>32</v>
      </c>
      <c r="I20" s="2" t="s">
        <v>25</v>
      </c>
      <c r="J20" s="2" t="s">
        <v>113</v>
      </c>
      <c r="K20" s="4">
        <v>46062.0</v>
      </c>
      <c r="L20" s="2" t="s">
        <v>114</v>
      </c>
    </row>
    <row r="21">
      <c r="A21" s="2" t="s">
        <v>115</v>
      </c>
      <c r="B21" s="2" t="s">
        <v>116</v>
      </c>
      <c r="C21" s="2" t="s">
        <v>14</v>
      </c>
      <c r="D21" s="2" t="s">
        <v>15</v>
      </c>
      <c r="E21" s="2" t="s">
        <v>23</v>
      </c>
      <c r="F21" s="3">
        <f>+5491138971715</f>
        <v>5491138971715</v>
      </c>
      <c r="G21" s="2" t="s">
        <v>117</v>
      </c>
      <c r="H21" s="2" t="s">
        <v>25</v>
      </c>
      <c r="I21" s="2" t="s">
        <v>118</v>
      </c>
      <c r="J21" s="2" t="s">
        <v>119</v>
      </c>
      <c r="K21" s="4">
        <v>46062.0</v>
      </c>
      <c r="L21" s="2" t="s">
        <v>120</v>
      </c>
    </row>
    <row r="22">
      <c r="A22" s="2" t="s">
        <v>121</v>
      </c>
      <c r="B22" s="2" t="s">
        <v>122</v>
      </c>
      <c r="C22" s="2" t="s">
        <v>14</v>
      </c>
      <c r="D22" s="2" t="s">
        <v>15</v>
      </c>
      <c r="E22" s="2" t="s">
        <v>23</v>
      </c>
      <c r="F22" s="3">
        <f>+5491135227355</f>
        <v>5491135227355</v>
      </c>
      <c r="G22" s="2" t="s">
        <v>123</v>
      </c>
      <c r="H22" s="2" t="s">
        <v>25</v>
      </c>
      <c r="I22" s="2" t="s">
        <v>118</v>
      </c>
      <c r="J22" s="2" t="s">
        <v>124</v>
      </c>
      <c r="K22" s="4">
        <v>46059.0</v>
      </c>
      <c r="L22" s="2" t="s">
        <v>125</v>
      </c>
    </row>
    <row r="23">
      <c r="A23" s="2" t="s">
        <v>126</v>
      </c>
      <c r="B23" s="2" t="s">
        <v>127</v>
      </c>
      <c r="C23" s="2" t="s">
        <v>14</v>
      </c>
      <c r="D23" s="2" t="s">
        <v>15</v>
      </c>
      <c r="E23" s="2" t="s">
        <v>16</v>
      </c>
      <c r="F23" s="3">
        <f>+5491111111111</f>
        <v>5491111111111</v>
      </c>
      <c r="G23" s="2" t="s">
        <v>128</v>
      </c>
      <c r="H23" s="2" t="s">
        <v>18</v>
      </c>
      <c r="I23" s="2" t="s">
        <v>18</v>
      </c>
      <c r="J23" s="2" t="s">
        <v>129</v>
      </c>
      <c r="K23" s="4">
        <v>46057.0</v>
      </c>
      <c r="L23" s="2" t="s">
        <v>130</v>
      </c>
    </row>
    <row r="24">
      <c r="A24" s="2" t="s">
        <v>131</v>
      </c>
      <c r="B24" s="2" t="s">
        <v>132</v>
      </c>
      <c r="C24" s="2" t="s">
        <v>14</v>
      </c>
      <c r="D24" s="2" t="s">
        <v>15</v>
      </c>
      <c r="E24" s="2" t="s">
        <v>23</v>
      </c>
      <c r="F24" s="3">
        <f>+5491168469692</f>
        <v>5491168469692</v>
      </c>
      <c r="G24" s="2" t="s">
        <v>133</v>
      </c>
      <c r="H24" s="2" t="s">
        <v>25</v>
      </c>
      <c r="I24" s="2" t="s">
        <v>118</v>
      </c>
      <c r="J24" s="2" t="s">
        <v>134</v>
      </c>
      <c r="K24" s="4">
        <v>46057.0</v>
      </c>
      <c r="L24" s="2" t="s">
        <v>135</v>
      </c>
    </row>
    <row r="25">
      <c r="A25" s="2" t="s">
        <v>136</v>
      </c>
      <c r="B25" s="2" t="s">
        <v>137</v>
      </c>
      <c r="C25" s="2" t="s">
        <v>14</v>
      </c>
      <c r="D25" s="2" t="s">
        <v>15</v>
      </c>
      <c r="E25" s="2" t="s">
        <v>16</v>
      </c>
      <c r="F25" s="3">
        <f>+5491111111111</f>
        <v>5491111111111</v>
      </c>
      <c r="G25" s="2" t="s">
        <v>138</v>
      </c>
      <c r="H25" s="2" t="s">
        <v>18</v>
      </c>
      <c r="I25" s="2" t="s">
        <v>18</v>
      </c>
      <c r="J25" s="2" t="s">
        <v>129</v>
      </c>
      <c r="K25" s="4">
        <v>46057.0</v>
      </c>
      <c r="L25" s="2" t="s">
        <v>139</v>
      </c>
    </row>
    <row r="26">
      <c r="A26" s="2" t="s">
        <v>140</v>
      </c>
      <c r="B26" s="2" t="s">
        <v>141</v>
      </c>
      <c r="C26" s="2" t="s">
        <v>14</v>
      </c>
      <c r="D26" s="2" t="s">
        <v>15</v>
      </c>
      <c r="E26" s="2" t="s">
        <v>16</v>
      </c>
      <c r="F26" s="3">
        <f>+5491158838977</f>
        <v>5491158838977</v>
      </c>
      <c r="G26" s="2" t="s">
        <v>142</v>
      </c>
      <c r="H26" s="2" t="s">
        <v>32</v>
      </c>
      <c r="I26" s="2" t="s">
        <v>25</v>
      </c>
      <c r="J26" s="2" t="s">
        <v>143</v>
      </c>
      <c r="K26" s="4">
        <v>46084.0</v>
      </c>
      <c r="L26" s="2" t="s">
        <v>144</v>
      </c>
    </row>
    <row r="27">
      <c r="A27" s="2" t="s">
        <v>145</v>
      </c>
      <c r="B27" s="2" t="s">
        <v>146</v>
      </c>
      <c r="C27" s="2" t="s">
        <v>14</v>
      </c>
      <c r="D27" s="2" t="s">
        <v>15</v>
      </c>
      <c r="E27" s="2" t="s">
        <v>23</v>
      </c>
      <c r="F27" s="3">
        <f>+5491153135787</f>
        <v>5491153135787</v>
      </c>
      <c r="G27" s="2" t="s">
        <v>147</v>
      </c>
      <c r="H27" s="2" t="s">
        <v>25</v>
      </c>
      <c r="I27" s="2" t="s">
        <v>118</v>
      </c>
      <c r="J27" s="2" t="s">
        <v>124</v>
      </c>
      <c r="K27" s="4">
        <v>46084.0</v>
      </c>
      <c r="L27" s="2" t="s">
        <v>148</v>
      </c>
    </row>
    <row r="28">
      <c r="A28" s="2" t="s">
        <v>149</v>
      </c>
      <c r="B28" s="2" t="s">
        <v>150</v>
      </c>
      <c r="C28" s="2" t="s">
        <v>14</v>
      </c>
      <c r="D28" s="2" t="s">
        <v>15</v>
      </c>
      <c r="E28" s="2" t="s">
        <v>23</v>
      </c>
      <c r="F28" s="3">
        <f>+54901127903965</f>
        <v>54901127903965</v>
      </c>
      <c r="G28" s="2" t="s">
        <v>151</v>
      </c>
      <c r="H28" s="2" t="s">
        <v>25</v>
      </c>
      <c r="I28" s="2" t="s">
        <v>118</v>
      </c>
      <c r="J28" s="2" t="s">
        <v>119</v>
      </c>
      <c r="K28" s="4">
        <v>46084.0</v>
      </c>
      <c r="L28" s="2" t="s">
        <v>152</v>
      </c>
    </row>
    <row r="29">
      <c r="A29" s="2" t="s">
        <v>153</v>
      </c>
      <c r="B29" s="2" t="s">
        <v>154</v>
      </c>
      <c r="C29" s="2" t="s">
        <v>14</v>
      </c>
      <c r="D29" s="2" t="s">
        <v>15</v>
      </c>
      <c r="E29" s="2" t="s">
        <v>23</v>
      </c>
      <c r="F29" s="3">
        <f>+5491131941609</f>
        <v>5491131941609</v>
      </c>
      <c r="G29" s="2" t="s">
        <v>155</v>
      </c>
      <c r="H29" s="2" t="s">
        <v>25</v>
      </c>
      <c r="I29" s="2" t="s">
        <v>118</v>
      </c>
      <c r="J29" s="2" t="s">
        <v>134</v>
      </c>
      <c r="K29" s="4">
        <v>46083.0</v>
      </c>
      <c r="L29" s="2" t="s">
        <v>156</v>
      </c>
    </row>
    <row r="30">
      <c r="A30" s="2" t="s">
        <v>157</v>
      </c>
      <c r="B30" s="2" t="s">
        <v>158</v>
      </c>
      <c r="C30" s="2" t="s">
        <v>14</v>
      </c>
      <c r="D30" s="2" t="s">
        <v>15</v>
      </c>
      <c r="E30" s="2" t="s">
        <v>16</v>
      </c>
      <c r="F30" s="3">
        <f>+5491158141818</f>
        <v>5491158141818</v>
      </c>
      <c r="G30" s="2" t="s">
        <v>159</v>
      </c>
      <c r="H30" s="2" t="s">
        <v>25</v>
      </c>
      <c r="I30" s="2" t="s">
        <v>160</v>
      </c>
      <c r="J30" s="2" t="s">
        <v>160</v>
      </c>
      <c r="K30" s="4">
        <v>46080.0</v>
      </c>
      <c r="L30" s="2" t="s">
        <v>161</v>
      </c>
    </row>
    <row r="31">
      <c r="A31" s="2" t="s">
        <v>162</v>
      </c>
      <c r="B31" s="2" t="s">
        <v>163</v>
      </c>
      <c r="C31" s="2" t="s">
        <v>14</v>
      </c>
      <c r="D31" s="2" t="s">
        <v>15</v>
      </c>
      <c r="E31" s="2" t="s">
        <v>23</v>
      </c>
      <c r="F31" s="3">
        <f>+5491133448508</f>
        <v>5491133448508</v>
      </c>
      <c r="G31" s="2" t="s">
        <v>164</v>
      </c>
      <c r="H31" s="2" t="s">
        <v>25</v>
      </c>
      <c r="I31" s="2" t="s">
        <v>118</v>
      </c>
      <c r="J31" s="2" t="s">
        <v>118</v>
      </c>
      <c r="K31" s="4">
        <v>46079.0</v>
      </c>
      <c r="L31" s="2" t="s">
        <v>165</v>
      </c>
    </row>
    <row r="32">
      <c r="A32" s="2" t="s">
        <v>166</v>
      </c>
      <c r="B32" s="2" t="s">
        <v>167</v>
      </c>
      <c r="C32" s="2" t="s">
        <v>14</v>
      </c>
      <c r="D32" s="2" t="s">
        <v>15</v>
      </c>
      <c r="E32" s="2" t="s">
        <v>16</v>
      </c>
      <c r="F32" s="3">
        <f>+5491135140108</f>
        <v>5491135140108</v>
      </c>
      <c r="G32" s="2" t="s">
        <v>168</v>
      </c>
      <c r="H32" s="2" t="s">
        <v>32</v>
      </c>
      <c r="I32" s="2" t="s">
        <v>25</v>
      </c>
      <c r="J32" s="2" t="s">
        <v>169</v>
      </c>
      <c r="K32" s="4">
        <v>46079.0</v>
      </c>
      <c r="L32" s="2" t="s">
        <v>170</v>
      </c>
    </row>
    <row r="33">
      <c r="A33" s="2" t="s">
        <v>171</v>
      </c>
      <c r="B33" s="2" t="s">
        <v>172</v>
      </c>
      <c r="C33" s="2" t="s">
        <v>14</v>
      </c>
      <c r="D33" s="2" t="s">
        <v>15</v>
      </c>
      <c r="E33" s="2" t="s">
        <v>16</v>
      </c>
      <c r="F33" s="3">
        <f>+5491165875228</f>
        <v>5491165875228</v>
      </c>
      <c r="G33" s="2" t="s">
        <v>173</v>
      </c>
      <c r="H33" s="2" t="s">
        <v>25</v>
      </c>
      <c r="I33" s="2" t="s">
        <v>118</v>
      </c>
      <c r="J33" s="2" t="s">
        <v>118</v>
      </c>
      <c r="K33" s="4">
        <v>46079.0</v>
      </c>
      <c r="L33" s="2" t="s">
        <v>174</v>
      </c>
    </row>
    <row r="34">
      <c r="A34" s="2" t="s">
        <v>175</v>
      </c>
      <c r="B34" s="2" t="s">
        <v>176</v>
      </c>
      <c r="C34" s="2" t="s">
        <v>14</v>
      </c>
      <c r="D34" s="2" t="s">
        <v>15</v>
      </c>
      <c r="E34" s="2" t="s">
        <v>16</v>
      </c>
      <c r="F34" s="3">
        <f t="shared" ref="F34:F35" si="2">+5491140795928</f>
        <v>5491140795928</v>
      </c>
      <c r="G34" s="2" t="s">
        <v>177</v>
      </c>
      <c r="H34" s="2" t="s">
        <v>25</v>
      </c>
      <c r="I34" s="2" t="s">
        <v>49</v>
      </c>
      <c r="J34" s="2" t="s">
        <v>178</v>
      </c>
      <c r="K34" s="4">
        <v>46079.0</v>
      </c>
      <c r="L34" s="2" t="s">
        <v>179</v>
      </c>
    </row>
    <row r="35">
      <c r="A35" s="2" t="s">
        <v>180</v>
      </c>
      <c r="B35" s="2" t="s">
        <v>181</v>
      </c>
      <c r="C35" s="2" t="s">
        <v>14</v>
      </c>
      <c r="D35" s="2" t="s">
        <v>15</v>
      </c>
      <c r="E35" s="2" t="s">
        <v>16</v>
      </c>
      <c r="F35" s="3">
        <f t="shared" si="2"/>
        <v>5491140795928</v>
      </c>
      <c r="G35" s="2" t="s">
        <v>177</v>
      </c>
      <c r="H35" s="2" t="s">
        <v>25</v>
      </c>
      <c r="I35" s="2" t="s">
        <v>49</v>
      </c>
      <c r="J35" s="2" t="s">
        <v>178</v>
      </c>
      <c r="K35" s="4">
        <v>46079.0</v>
      </c>
      <c r="L35" s="2" t="s">
        <v>182</v>
      </c>
    </row>
    <row r="36">
      <c r="A36" s="2" t="s">
        <v>183</v>
      </c>
      <c r="B36" s="2" t="s">
        <v>184</v>
      </c>
      <c r="C36" s="2" t="s">
        <v>185</v>
      </c>
      <c r="D36" s="2" t="s">
        <v>15</v>
      </c>
      <c r="E36" s="2" t="s">
        <v>16</v>
      </c>
      <c r="F36" s="3">
        <f>+5491150298766</f>
        <v>5491150298766</v>
      </c>
      <c r="G36" s="2" t="s">
        <v>186</v>
      </c>
      <c r="H36" s="2" t="s">
        <v>25</v>
      </c>
      <c r="I36" s="2" t="s">
        <v>118</v>
      </c>
      <c r="J36" s="2" t="s">
        <v>118</v>
      </c>
      <c r="K36" s="4">
        <v>46078.0</v>
      </c>
      <c r="L36" s="2" t="s">
        <v>187</v>
      </c>
    </row>
    <row r="37">
      <c r="A37" s="2" t="s">
        <v>188</v>
      </c>
      <c r="B37" s="2" t="s">
        <v>189</v>
      </c>
      <c r="C37" s="2" t="s">
        <v>14</v>
      </c>
      <c r="D37" s="2" t="s">
        <v>15</v>
      </c>
      <c r="E37" s="2" t="s">
        <v>16</v>
      </c>
      <c r="F37" s="3">
        <f t="shared" ref="F37:F38" si="3">+5493548562746</f>
        <v>5493548562746</v>
      </c>
      <c r="G37" s="2" t="s">
        <v>190</v>
      </c>
      <c r="H37" s="2" t="s">
        <v>18</v>
      </c>
      <c r="I37" s="2" t="s">
        <v>18</v>
      </c>
      <c r="J37" s="2" t="s">
        <v>191</v>
      </c>
      <c r="K37" s="4">
        <v>46077.0</v>
      </c>
      <c r="L37" s="2" t="s">
        <v>192</v>
      </c>
    </row>
    <row r="38">
      <c r="A38" s="2" t="s">
        <v>193</v>
      </c>
      <c r="B38" s="2" t="s">
        <v>194</v>
      </c>
      <c r="C38" s="2" t="s">
        <v>14</v>
      </c>
      <c r="D38" s="2" t="s">
        <v>15</v>
      </c>
      <c r="E38" s="2" t="s">
        <v>16</v>
      </c>
      <c r="F38" s="3">
        <f t="shared" si="3"/>
        <v>5493548562746</v>
      </c>
      <c r="G38" s="2" t="s">
        <v>190</v>
      </c>
      <c r="H38" s="2" t="s">
        <v>18</v>
      </c>
      <c r="I38" s="2" t="s">
        <v>18</v>
      </c>
      <c r="J38" s="2" t="s">
        <v>191</v>
      </c>
      <c r="K38" s="4">
        <v>46077.0</v>
      </c>
      <c r="L38" s="2" t="s">
        <v>192</v>
      </c>
    </row>
    <row r="39">
      <c r="A39" s="2" t="s">
        <v>195</v>
      </c>
      <c r="B39" s="2" t="s">
        <v>196</v>
      </c>
      <c r="C39" s="2" t="s">
        <v>14</v>
      </c>
      <c r="D39" s="2" t="s">
        <v>15</v>
      </c>
      <c r="E39" s="2" t="s">
        <v>23</v>
      </c>
      <c r="F39" s="3">
        <f>+5491151636875</f>
        <v>5491151636875</v>
      </c>
      <c r="G39" s="2" t="s">
        <v>197</v>
      </c>
      <c r="H39" s="2" t="s">
        <v>25</v>
      </c>
      <c r="I39" s="2" t="s">
        <v>118</v>
      </c>
      <c r="J39" s="2" t="s">
        <v>198</v>
      </c>
      <c r="K39" s="4">
        <v>46077.0</v>
      </c>
      <c r="L39" s="2" t="s">
        <v>199</v>
      </c>
    </row>
    <row r="40">
      <c r="A40" s="2" t="s">
        <v>200</v>
      </c>
      <c r="B40" s="2" t="s">
        <v>201</v>
      </c>
      <c r="C40" s="2" t="s">
        <v>14</v>
      </c>
      <c r="D40" s="2" t="s">
        <v>15</v>
      </c>
      <c r="E40" s="2" t="s">
        <v>16</v>
      </c>
      <c r="F40" s="3">
        <f>+5491158439754</f>
        <v>5491158439754</v>
      </c>
      <c r="G40" s="2" t="s">
        <v>202</v>
      </c>
      <c r="H40" s="2" t="s">
        <v>25</v>
      </c>
      <c r="I40" s="2" t="s">
        <v>203</v>
      </c>
      <c r="J40" s="2" t="s">
        <v>204</v>
      </c>
      <c r="K40" s="4">
        <v>46076.0</v>
      </c>
      <c r="L40" s="2" t="s">
        <v>205</v>
      </c>
    </row>
    <row r="41">
      <c r="A41" s="2" t="s">
        <v>206</v>
      </c>
      <c r="B41" s="2" t="s">
        <v>207</v>
      </c>
      <c r="C41" s="2" t="s">
        <v>14</v>
      </c>
      <c r="D41" s="2" t="s">
        <v>15</v>
      </c>
      <c r="E41" s="2" t="s">
        <v>16</v>
      </c>
      <c r="F41" s="3">
        <f>+5491159547431</f>
        <v>5491159547431</v>
      </c>
      <c r="G41" s="2" t="s">
        <v>208</v>
      </c>
      <c r="H41" s="2" t="s">
        <v>25</v>
      </c>
      <c r="I41" s="2" t="s">
        <v>44</v>
      </c>
      <c r="J41" s="2" t="s">
        <v>44</v>
      </c>
      <c r="K41" s="4">
        <v>46076.0</v>
      </c>
      <c r="L41" s="2" t="s">
        <v>209</v>
      </c>
    </row>
    <row r="42">
      <c r="A42" s="2" t="s">
        <v>210</v>
      </c>
      <c r="B42" s="2" t="s">
        <v>211</v>
      </c>
      <c r="C42" s="2" t="s">
        <v>14</v>
      </c>
      <c r="D42" s="2" t="s">
        <v>15</v>
      </c>
      <c r="E42" s="2" t="s">
        <v>16</v>
      </c>
      <c r="F42" s="3">
        <f>+5492302443251</f>
        <v>5492302443251</v>
      </c>
      <c r="G42" s="2" t="s">
        <v>212</v>
      </c>
      <c r="H42" s="2" t="s">
        <v>32</v>
      </c>
      <c r="I42" s="2" t="s">
        <v>25</v>
      </c>
      <c r="J42" s="2" t="s">
        <v>213</v>
      </c>
      <c r="K42" s="4">
        <v>46076.0</v>
      </c>
      <c r="L42" s="2" t="s">
        <v>214</v>
      </c>
    </row>
    <row r="43">
      <c r="A43" s="2" t="s">
        <v>215</v>
      </c>
      <c r="B43" s="2" t="s">
        <v>216</v>
      </c>
      <c r="C43" s="2" t="s">
        <v>14</v>
      </c>
      <c r="D43" s="2" t="s">
        <v>15</v>
      </c>
      <c r="E43" s="2" t="s">
        <v>16</v>
      </c>
      <c r="F43" s="3">
        <f>+5493476661726</f>
        <v>5493476661726</v>
      </c>
      <c r="G43" s="2" t="s">
        <v>217</v>
      </c>
      <c r="H43" s="2" t="s">
        <v>65</v>
      </c>
      <c r="I43" s="2" t="s">
        <v>218</v>
      </c>
      <c r="J43" s="2" t="s">
        <v>219</v>
      </c>
      <c r="K43" s="4">
        <v>46076.0</v>
      </c>
      <c r="L43" s="2" t="s">
        <v>220</v>
      </c>
    </row>
    <row r="44">
      <c r="A44" s="2" t="s">
        <v>221</v>
      </c>
      <c r="B44" s="2" t="s">
        <v>222</v>
      </c>
      <c r="C44" s="2" t="s">
        <v>14</v>
      </c>
      <c r="D44" s="2" t="s">
        <v>15</v>
      </c>
      <c r="E44" s="2" t="s">
        <v>23</v>
      </c>
      <c r="F44" s="3">
        <f>+541125128798</f>
        <v>541125128798</v>
      </c>
      <c r="G44" s="2" t="s">
        <v>223</v>
      </c>
      <c r="H44" s="2" t="s">
        <v>25</v>
      </c>
      <c r="I44" s="2" t="s">
        <v>118</v>
      </c>
      <c r="J44" s="2" t="s">
        <v>118</v>
      </c>
      <c r="K44" s="4">
        <v>46076.0</v>
      </c>
      <c r="L44" s="2" t="s">
        <v>224</v>
      </c>
    </row>
    <row r="45">
      <c r="A45" s="2" t="s">
        <v>225</v>
      </c>
      <c r="B45" s="2" t="s">
        <v>226</v>
      </c>
      <c r="C45" s="2" t="s">
        <v>14</v>
      </c>
      <c r="D45" s="2" t="s">
        <v>15</v>
      </c>
      <c r="E45" s="2" t="s">
        <v>16</v>
      </c>
      <c r="F45" s="3">
        <f>+5493548562746</f>
        <v>5493548562746</v>
      </c>
      <c r="G45" s="2" t="s">
        <v>190</v>
      </c>
      <c r="H45" s="2" t="s">
        <v>18</v>
      </c>
      <c r="I45" s="2" t="s">
        <v>18</v>
      </c>
      <c r="J45" s="2" t="s">
        <v>191</v>
      </c>
      <c r="K45" s="4">
        <v>46076.0</v>
      </c>
      <c r="L45" s="2" t="s">
        <v>192</v>
      </c>
    </row>
    <row r="46">
      <c r="A46" s="2" t="s">
        <v>227</v>
      </c>
      <c r="B46" s="2" t="s">
        <v>228</v>
      </c>
      <c r="C46" s="2" t="s">
        <v>14</v>
      </c>
      <c r="D46" s="2" t="s">
        <v>15</v>
      </c>
      <c r="E46" s="2" t="s">
        <v>16</v>
      </c>
      <c r="F46" s="3">
        <f>+5491158439754</f>
        <v>5491158439754</v>
      </c>
      <c r="G46" s="2" t="s">
        <v>229</v>
      </c>
      <c r="H46" s="2" t="s">
        <v>25</v>
      </c>
      <c r="I46" s="2" t="s">
        <v>230</v>
      </c>
      <c r="J46" s="2" t="s">
        <v>231</v>
      </c>
      <c r="K46" s="4">
        <v>46076.0</v>
      </c>
      <c r="L46" s="2" t="s">
        <v>232</v>
      </c>
    </row>
    <row r="47">
      <c r="A47" s="2" t="s">
        <v>233</v>
      </c>
      <c r="B47" s="2" t="s">
        <v>234</v>
      </c>
      <c r="C47" s="2" t="s">
        <v>14</v>
      </c>
      <c r="D47" s="2" t="s">
        <v>15</v>
      </c>
      <c r="E47" s="2" t="s">
        <v>16</v>
      </c>
      <c r="F47" s="3">
        <f>+5491133851300</f>
        <v>5491133851300</v>
      </c>
      <c r="G47" s="2" t="s">
        <v>235</v>
      </c>
      <c r="H47" s="2" t="s">
        <v>25</v>
      </c>
      <c r="I47" s="2" t="s">
        <v>236</v>
      </c>
      <c r="J47" s="2" t="s">
        <v>236</v>
      </c>
      <c r="K47" s="4">
        <v>46076.0</v>
      </c>
      <c r="L47" s="2" t="s">
        <v>237</v>
      </c>
    </row>
    <row r="48">
      <c r="A48" s="2" t="s">
        <v>238</v>
      </c>
      <c r="B48" s="2" t="s">
        <v>239</v>
      </c>
      <c r="C48" s="2" t="s">
        <v>14</v>
      </c>
      <c r="D48" s="2" t="s">
        <v>15</v>
      </c>
      <c r="E48" s="2" t="s">
        <v>16</v>
      </c>
      <c r="F48" s="3">
        <f t="shared" ref="F48:F49" si="4">+5491158141818</f>
        <v>5491158141818</v>
      </c>
      <c r="G48" s="2" t="s">
        <v>240</v>
      </c>
      <c r="H48" s="2" t="s">
        <v>25</v>
      </c>
      <c r="I48" s="2" t="s">
        <v>241</v>
      </c>
      <c r="J48" s="2" t="s">
        <v>241</v>
      </c>
      <c r="K48" s="4">
        <v>46076.0</v>
      </c>
      <c r="L48" s="2" t="s">
        <v>242</v>
      </c>
    </row>
    <row r="49">
      <c r="A49" s="2" t="s">
        <v>243</v>
      </c>
      <c r="B49" s="2" t="s">
        <v>244</v>
      </c>
      <c r="C49" s="2" t="s">
        <v>14</v>
      </c>
      <c r="D49" s="2" t="s">
        <v>15</v>
      </c>
      <c r="E49" s="2" t="s">
        <v>16</v>
      </c>
      <c r="F49" s="3">
        <f t="shared" si="4"/>
        <v>5491158141818</v>
      </c>
      <c r="G49" s="2" t="s">
        <v>245</v>
      </c>
      <c r="H49" s="2" t="s">
        <v>25</v>
      </c>
      <c r="I49" s="2" t="s">
        <v>246</v>
      </c>
      <c r="J49" s="2" t="s">
        <v>247</v>
      </c>
      <c r="K49" s="4">
        <v>46076.0</v>
      </c>
      <c r="L49" s="2" t="s">
        <v>248</v>
      </c>
    </row>
    <row r="50">
      <c r="A50" s="2" t="s">
        <v>249</v>
      </c>
      <c r="B50" s="2" t="s">
        <v>250</v>
      </c>
      <c r="C50" s="2" t="s">
        <v>14</v>
      </c>
      <c r="D50" s="2" t="s">
        <v>15</v>
      </c>
      <c r="E50" s="2" t="s">
        <v>16</v>
      </c>
      <c r="F50" s="3">
        <f>+5493476661726</f>
        <v>5493476661726</v>
      </c>
      <c r="G50" s="2" t="s">
        <v>251</v>
      </c>
      <c r="H50" s="2" t="s">
        <v>65</v>
      </c>
      <c r="I50" s="2" t="s">
        <v>218</v>
      </c>
      <c r="J50" s="2" t="s">
        <v>252</v>
      </c>
      <c r="K50" s="4">
        <v>46076.0</v>
      </c>
      <c r="L50" s="2" t="s">
        <v>253</v>
      </c>
    </row>
    <row r="51">
      <c r="A51" s="2" t="s">
        <v>254</v>
      </c>
      <c r="B51" s="2" t="s">
        <v>255</v>
      </c>
      <c r="C51" s="2" t="s">
        <v>14</v>
      </c>
      <c r="D51" s="2" t="s">
        <v>15</v>
      </c>
      <c r="E51" s="2" t="s">
        <v>16</v>
      </c>
      <c r="F51" s="3">
        <f>+5491158439754</f>
        <v>5491158439754</v>
      </c>
      <c r="G51" s="2" t="s">
        <v>256</v>
      </c>
      <c r="H51" s="2" t="s">
        <v>25</v>
      </c>
      <c r="I51" s="2" t="s">
        <v>78</v>
      </c>
      <c r="J51" s="2" t="s">
        <v>78</v>
      </c>
      <c r="K51" s="4">
        <v>46076.0</v>
      </c>
      <c r="L51" s="2" t="s">
        <v>257</v>
      </c>
    </row>
    <row r="52">
      <c r="A52" s="2" t="s">
        <v>258</v>
      </c>
      <c r="B52" s="2" t="s">
        <v>259</v>
      </c>
      <c r="C52" s="2" t="s">
        <v>14</v>
      </c>
      <c r="D52" s="2" t="s">
        <v>15</v>
      </c>
      <c r="E52" s="2" t="s">
        <v>16</v>
      </c>
      <c r="F52" s="3">
        <f>+5493476661726</f>
        <v>5493476661726</v>
      </c>
      <c r="G52" s="2" t="s">
        <v>260</v>
      </c>
      <c r="H52" s="2" t="s">
        <v>65</v>
      </c>
      <c r="I52" s="2" t="s">
        <v>218</v>
      </c>
      <c r="J52" s="2" t="s">
        <v>261</v>
      </c>
      <c r="K52" s="4">
        <v>46076.0</v>
      </c>
      <c r="L52" s="2" t="s">
        <v>262</v>
      </c>
    </row>
    <row r="53">
      <c r="A53" s="2" t="s">
        <v>263</v>
      </c>
      <c r="B53" s="2" t="s">
        <v>264</v>
      </c>
      <c r="C53" s="2" t="s">
        <v>14</v>
      </c>
      <c r="D53" s="2" t="s">
        <v>15</v>
      </c>
      <c r="E53" s="2" t="s">
        <v>16</v>
      </c>
      <c r="F53" s="3">
        <f>+5491164497765</f>
        <v>5491164497765</v>
      </c>
      <c r="G53" s="2" t="s">
        <v>265</v>
      </c>
      <c r="H53" s="2" t="s">
        <v>32</v>
      </c>
      <c r="I53" s="2" t="s">
        <v>25</v>
      </c>
      <c r="J53" s="2" t="s">
        <v>266</v>
      </c>
      <c r="K53" s="4">
        <v>46076.0</v>
      </c>
      <c r="L53" s="2" t="s">
        <v>267</v>
      </c>
    </row>
    <row r="54">
      <c r="A54" s="2" t="s">
        <v>268</v>
      </c>
      <c r="B54" s="2" t="s">
        <v>269</v>
      </c>
      <c r="C54" s="2" t="s">
        <v>14</v>
      </c>
      <c r="D54" s="2" t="s">
        <v>15</v>
      </c>
      <c r="E54" s="2" t="s">
        <v>16</v>
      </c>
      <c r="F54" s="3">
        <f>+5491159547431</f>
        <v>5491159547431</v>
      </c>
      <c r="G54" s="2" t="s">
        <v>270</v>
      </c>
      <c r="H54" s="2" t="s">
        <v>25</v>
      </c>
      <c r="I54" s="2" t="s">
        <v>44</v>
      </c>
      <c r="J54" s="2" t="s">
        <v>44</v>
      </c>
      <c r="K54" s="4">
        <v>46074.0</v>
      </c>
      <c r="L54" s="2" t="s">
        <v>271</v>
      </c>
    </row>
    <row r="55">
      <c r="A55" s="2" t="s">
        <v>272</v>
      </c>
      <c r="B55" s="2" t="s">
        <v>273</v>
      </c>
      <c r="C55" s="2" t="s">
        <v>14</v>
      </c>
      <c r="D55" s="2" t="s">
        <v>15</v>
      </c>
      <c r="E55" s="2" t="s">
        <v>23</v>
      </c>
      <c r="F55" s="3">
        <f>+5491158830311</f>
        <v>5491158830311</v>
      </c>
      <c r="G55" s="2" t="s">
        <v>274</v>
      </c>
      <c r="H55" s="2" t="s">
        <v>25</v>
      </c>
      <c r="I55" s="2" t="s">
        <v>118</v>
      </c>
      <c r="J55" s="2" t="s">
        <v>198</v>
      </c>
      <c r="K55" s="4">
        <v>46073.0</v>
      </c>
      <c r="L55" s="2" t="s">
        <v>275</v>
      </c>
    </row>
    <row r="56">
      <c r="A56" s="2" t="s">
        <v>276</v>
      </c>
      <c r="B56" s="2" t="s">
        <v>277</v>
      </c>
      <c r="C56" s="2" t="s">
        <v>14</v>
      </c>
      <c r="D56" s="2" t="s">
        <v>15</v>
      </c>
      <c r="E56" s="2" t="s">
        <v>23</v>
      </c>
      <c r="F56" s="3">
        <f>+5493875669637</f>
        <v>5493875669637</v>
      </c>
      <c r="G56" s="2" t="s">
        <v>278</v>
      </c>
      <c r="H56" s="2" t="s">
        <v>25</v>
      </c>
      <c r="I56" s="2" t="s">
        <v>118</v>
      </c>
      <c r="J56" s="2" t="s">
        <v>118</v>
      </c>
      <c r="K56" s="4">
        <v>46073.0</v>
      </c>
      <c r="L56" s="2" t="s">
        <v>279</v>
      </c>
    </row>
    <row r="57">
      <c r="A57" s="2" t="s">
        <v>280</v>
      </c>
      <c r="B57" s="2" t="s">
        <v>281</v>
      </c>
      <c r="C57" s="2" t="s">
        <v>14</v>
      </c>
      <c r="D57" s="2" t="s">
        <v>15</v>
      </c>
      <c r="E57" s="2" t="s">
        <v>23</v>
      </c>
      <c r="F57" s="3">
        <f>+5491127959441</f>
        <v>5491127959441</v>
      </c>
      <c r="G57" s="2" t="s">
        <v>282</v>
      </c>
      <c r="H57" s="2" t="s">
        <v>25</v>
      </c>
      <c r="I57" s="2" t="s">
        <v>118</v>
      </c>
      <c r="J57" s="2" t="s">
        <v>124</v>
      </c>
      <c r="K57" s="4">
        <v>46072.0</v>
      </c>
      <c r="L57" s="2" t="s">
        <v>283</v>
      </c>
    </row>
    <row r="58">
      <c r="A58" s="2" t="s">
        <v>284</v>
      </c>
      <c r="B58" s="2" t="s">
        <v>285</v>
      </c>
      <c r="C58" s="2" t="s">
        <v>14</v>
      </c>
      <c r="D58" s="2" t="s">
        <v>15</v>
      </c>
      <c r="E58" s="2" t="s">
        <v>16</v>
      </c>
      <c r="F58" s="3">
        <f>+5491168795887</f>
        <v>5491168795887</v>
      </c>
      <c r="G58" s="2" t="s">
        <v>286</v>
      </c>
      <c r="H58" s="2" t="s">
        <v>32</v>
      </c>
      <c r="I58" s="2" t="s">
        <v>25</v>
      </c>
      <c r="J58" s="2" t="s">
        <v>33</v>
      </c>
      <c r="K58" s="4">
        <v>46072.0</v>
      </c>
      <c r="L58" s="2" t="s">
        <v>287</v>
      </c>
    </row>
    <row r="59">
      <c r="A59" s="2" t="s">
        <v>288</v>
      </c>
      <c r="B59" s="2" t="s">
        <v>289</v>
      </c>
      <c r="C59" s="2" t="s">
        <v>14</v>
      </c>
      <c r="D59" s="2" t="s">
        <v>15</v>
      </c>
      <c r="E59" s="2" t="s">
        <v>23</v>
      </c>
      <c r="F59" s="3">
        <f>+5491132769667</f>
        <v>5491132769667</v>
      </c>
      <c r="G59" s="2" t="s">
        <v>290</v>
      </c>
      <c r="H59" s="2" t="s">
        <v>25</v>
      </c>
      <c r="I59" s="2" t="s">
        <v>118</v>
      </c>
      <c r="J59" s="2" t="s">
        <v>198</v>
      </c>
      <c r="K59" s="4">
        <v>46072.0</v>
      </c>
      <c r="L59" s="2" t="s">
        <v>291</v>
      </c>
    </row>
    <row r="60">
      <c r="A60" s="2" t="s">
        <v>292</v>
      </c>
      <c r="B60" s="2" t="s">
        <v>293</v>
      </c>
      <c r="C60" s="2" t="s">
        <v>14</v>
      </c>
      <c r="D60" s="2" t="s">
        <v>15</v>
      </c>
      <c r="E60" s="2" t="s">
        <v>16</v>
      </c>
      <c r="F60" s="3">
        <f t="shared" ref="F60:F61" si="5">+5491168795887</f>
        <v>5491168795887</v>
      </c>
      <c r="G60" s="2" t="s">
        <v>286</v>
      </c>
      <c r="H60" s="2" t="s">
        <v>32</v>
      </c>
      <c r="I60" s="2" t="s">
        <v>25</v>
      </c>
      <c r="J60" s="2" t="s">
        <v>33</v>
      </c>
      <c r="K60" s="4">
        <v>46072.0</v>
      </c>
      <c r="L60" s="2" t="s">
        <v>287</v>
      </c>
    </row>
    <row r="61">
      <c r="A61" s="2" t="s">
        <v>294</v>
      </c>
      <c r="B61" s="2" t="s">
        <v>295</v>
      </c>
      <c r="C61" s="2" t="s">
        <v>14</v>
      </c>
      <c r="D61" s="2" t="s">
        <v>15</v>
      </c>
      <c r="E61" s="2" t="s">
        <v>16</v>
      </c>
      <c r="F61" s="3">
        <f t="shared" si="5"/>
        <v>5491168795887</v>
      </c>
      <c r="G61" s="2" t="s">
        <v>286</v>
      </c>
      <c r="H61" s="2" t="s">
        <v>32</v>
      </c>
      <c r="I61" s="2" t="s">
        <v>25</v>
      </c>
      <c r="J61" s="2" t="s">
        <v>33</v>
      </c>
      <c r="K61" s="4">
        <v>46072.0</v>
      </c>
      <c r="L61" s="2" t="s">
        <v>287</v>
      </c>
    </row>
    <row r="62">
      <c r="A62" s="2" t="s">
        <v>296</v>
      </c>
      <c r="B62" s="2" t="s">
        <v>297</v>
      </c>
      <c r="C62" s="2" t="s">
        <v>14</v>
      </c>
      <c r="D62" s="2" t="s">
        <v>15</v>
      </c>
      <c r="E62" s="2" t="s">
        <v>16</v>
      </c>
      <c r="F62" s="3">
        <f t="shared" ref="F62:F76" si="6">+5491111111111</f>
        <v>5491111111111</v>
      </c>
      <c r="G62" s="2" t="s">
        <v>298</v>
      </c>
      <c r="H62" s="2" t="s">
        <v>25</v>
      </c>
      <c r="I62" s="2" t="s">
        <v>246</v>
      </c>
      <c r="J62" s="2" t="s">
        <v>299</v>
      </c>
      <c r="K62" s="4">
        <v>46071.0</v>
      </c>
      <c r="L62" s="2" t="s">
        <v>300</v>
      </c>
    </row>
    <row r="63">
      <c r="A63" s="2" t="s">
        <v>301</v>
      </c>
      <c r="B63" s="2" t="s">
        <v>302</v>
      </c>
      <c r="C63" s="2" t="s">
        <v>14</v>
      </c>
      <c r="D63" s="2" t="s">
        <v>15</v>
      </c>
      <c r="E63" s="2" t="s">
        <v>16</v>
      </c>
      <c r="F63" s="3">
        <f t="shared" si="6"/>
        <v>5491111111111</v>
      </c>
      <c r="G63" s="2" t="s">
        <v>303</v>
      </c>
      <c r="H63" s="2" t="s">
        <v>25</v>
      </c>
      <c r="I63" s="2" t="s">
        <v>230</v>
      </c>
      <c r="J63" s="2" t="s">
        <v>304</v>
      </c>
      <c r="K63" s="4">
        <v>46071.0</v>
      </c>
      <c r="L63" s="2" t="s">
        <v>305</v>
      </c>
    </row>
    <row r="64">
      <c r="A64" s="2" t="s">
        <v>306</v>
      </c>
      <c r="B64" s="2" t="s">
        <v>307</v>
      </c>
      <c r="C64" s="2" t="s">
        <v>14</v>
      </c>
      <c r="D64" s="2" t="s">
        <v>15</v>
      </c>
      <c r="E64" s="2" t="s">
        <v>16</v>
      </c>
      <c r="F64" s="3">
        <f t="shared" si="6"/>
        <v>5491111111111</v>
      </c>
      <c r="G64" s="2" t="s">
        <v>308</v>
      </c>
      <c r="H64" s="2" t="s">
        <v>25</v>
      </c>
      <c r="I64" s="2" t="s">
        <v>309</v>
      </c>
      <c r="J64" s="2" t="s">
        <v>309</v>
      </c>
      <c r="K64" s="4">
        <v>46071.0</v>
      </c>
      <c r="L64" s="2" t="s">
        <v>310</v>
      </c>
    </row>
    <row r="65">
      <c r="A65" s="2" t="s">
        <v>311</v>
      </c>
      <c r="B65" s="2" t="s">
        <v>312</v>
      </c>
      <c r="C65" s="2" t="s">
        <v>14</v>
      </c>
      <c r="D65" s="2" t="s">
        <v>15</v>
      </c>
      <c r="E65" s="2" t="s">
        <v>16</v>
      </c>
      <c r="F65" s="3">
        <f t="shared" si="6"/>
        <v>5491111111111</v>
      </c>
      <c r="G65" s="2" t="s">
        <v>313</v>
      </c>
      <c r="H65" s="2" t="s">
        <v>25</v>
      </c>
      <c r="I65" s="2" t="s">
        <v>314</v>
      </c>
      <c r="J65" s="2" t="s">
        <v>315</v>
      </c>
      <c r="K65" s="4">
        <v>46071.0</v>
      </c>
      <c r="L65" s="2" t="s">
        <v>316</v>
      </c>
    </row>
    <row r="66">
      <c r="A66" s="2" t="s">
        <v>317</v>
      </c>
      <c r="B66" s="2" t="s">
        <v>318</v>
      </c>
      <c r="C66" s="2" t="s">
        <v>14</v>
      </c>
      <c r="D66" s="2" t="s">
        <v>15</v>
      </c>
      <c r="E66" s="2" t="s">
        <v>16</v>
      </c>
      <c r="F66" s="3">
        <f t="shared" si="6"/>
        <v>5491111111111</v>
      </c>
      <c r="G66" s="2" t="s">
        <v>319</v>
      </c>
      <c r="H66" s="2" t="s">
        <v>32</v>
      </c>
      <c r="I66" s="2" t="s">
        <v>25</v>
      </c>
      <c r="J66" s="2" t="s">
        <v>320</v>
      </c>
      <c r="K66" s="4">
        <v>46071.0</v>
      </c>
      <c r="L66" s="2" t="s">
        <v>321</v>
      </c>
    </row>
    <row r="67">
      <c r="A67" s="2" t="s">
        <v>322</v>
      </c>
      <c r="B67" s="2" t="s">
        <v>323</v>
      </c>
      <c r="C67" s="2" t="s">
        <v>14</v>
      </c>
      <c r="D67" s="2" t="s">
        <v>15</v>
      </c>
      <c r="E67" s="2" t="s">
        <v>16</v>
      </c>
      <c r="F67" s="3">
        <f t="shared" si="6"/>
        <v>5491111111111</v>
      </c>
      <c r="G67" s="2" t="s">
        <v>102</v>
      </c>
      <c r="H67" s="2" t="s">
        <v>25</v>
      </c>
      <c r="I67" s="2" t="s">
        <v>38</v>
      </c>
      <c r="J67" s="2" t="s">
        <v>103</v>
      </c>
      <c r="K67" s="4">
        <v>46071.0</v>
      </c>
      <c r="L67" s="2" t="s">
        <v>324</v>
      </c>
    </row>
    <row r="68">
      <c r="A68" s="2" t="s">
        <v>325</v>
      </c>
      <c r="B68" s="2" t="s">
        <v>326</v>
      </c>
      <c r="C68" s="2" t="s">
        <v>14</v>
      </c>
      <c r="D68" s="2" t="s">
        <v>15</v>
      </c>
      <c r="E68" s="2" t="s">
        <v>16</v>
      </c>
      <c r="F68" s="3">
        <f t="shared" si="6"/>
        <v>5491111111111</v>
      </c>
      <c r="G68" s="2" t="s">
        <v>327</v>
      </c>
      <c r="H68" s="2" t="s">
        <v>65</v>
      </c>
      <c r="I68" s="2" t="s">
        <v>218</v>
      </c>
      <c r="J68" s="2" t="s">
        <v>328</v>
      </c>
      <c r="K68" s="4">
        <v>46071.0</v>
      </c>
      <c r="L68" s="2" t="s">
        <v>329</v>
      </c>
    </row>
    <row r="69">
      <c r="A69" s="2" t="s">
        <v>330</v>
      </c>
      <c r="B69" s="2" t="s">
        <v>331</v>
      </c>
      <c r="C69" s="2" t="s">
        <v>14</v>
      </c>
      <c r="D69" s="2" t="s">
        <v>15</v>
      </c>
      <c r="E69" s="2" t="s">
        <v>16</v>
      </c>
      <c r="F69" s="3">
        <f t="shared" si="6"/>
        <v>5491111111111</v>
      </c>
      <c r="G69" s="2" t="s">
        <v>138</v>
      </c>
      <c r="H69" s="2" t="s">
        <v>18</v>
      </c>
      <c r="I69" s="2" t="s">
        <v>18</v>
      </c>
      <c r="J69" s="2" t="s">
        <v>129</v>
      </c>
      <c r="K69" s="4">
        <v>46071.0</v>
      </c>
      <c r="L69" s="2" t="s">
        <v>332</v>
      </c>
    </row>
    <row r="70">
      <c r="A70" s="2" t="s">
        <v>333</v>
      </c>
      <c r="B70" s="2" t="s">
        <v>334</v>
      </c>
      <c r="C70" s="2" t="s">
        <v>14</v>
      </c>
      <c r="D70" s="2" t="s">
        <v>15</v>
      </c>
      <c r="E70" s="2" t="s">
        <v>16</v>
      </c>
      <c r="F70" s="3">
        <f t="shared" si="6"/>
        <v>5491111111111</v>
      </c>
      <c r="G70" s="2" t="s">
        <v>335</v>
      </c>
      <c r="H70" s="2" t="s">
        <v>71</v>
      </c>
      <c r="I70" s="2" t="s">
        <v>72</v>
      </c>
      <c r="J70" s="2" t="s">
        <v>336</v>
      </c>
      <c r="K70" s="4">
        <v>46071.0</v>
      </c>
      <c r="L70" s="2" t="s">
        <v>337</v>
      </c>
    </row>
    <row r="71">
      <c r="A71" s="2" t="s">
        <v>338</v>
      </c>
      <c r="B71" s="2" t="s">
        <v>339</v>
      </c>
      <c r="C71" s="2" t="s">
        <v>14</v>
      </c>
      <c r="D71" s="2" t="s">
        <v>15</v>
      </c>
      <c r="E71" s="2" t="s">
        <v>16</v>
      </c>
      <c r="F71" s="3">
        <f t="shared" si="6"/>
        <v>5491111111111</v>
      </c>
      <c r="G71" s="2" t="s">
        <v>340</v>
      </c>
      <c r="H71" s="2" t="s">
        <v>25</v>
      </c>
      <c r="I71" s="2" t="s">
        <v>314</v>
      </c>
      <c r="J71" s="2" t="s">
        <v>314</v>
      </c>
      <c r="K71" s="4">
        <v>46071.0</v>
      </c>
      <c r="L71" s="2" t="s">
        <v>341</v>
      </c>
    </row>
    <row r="72">
      <c r="A72" s="2" t="s">
        <v>342</v>
      </c>
      <c r="B72" s="2" t="s">
        <v>343</v>
      </c>
      <c r="C72" s="2" t="s">
        <v>14</v>
      </c>
      <c r="D72" s="2" t="s">
        <v>15</v>
      </c>
      <c r="E72" s="2" t="s">
        <v>16</v>
      </c>
      <c r="F72" s="3">
        <f t="shared" si="6"/>
        <v>5491111111111</v>
      </c>
      <c r="G72" s="2" t="s">
        <v>344</v>
      </c>
      <c r="H72" s="2" t="s">
        <v>25</v>
      </c>
      <c r="I72" s="2" t="s">
        <v>44</v>
      </c>
      <c r="J72" s="2" t="s">
        <v>44</v>
      </c>
      <c r="K72" s="4">
        <v>46071.0</v>
      </c>
      <c r="L72" s="2" t="s">
        <v>345</v>
      </c>
    </row>
    <row r="73">
      <c r="A73" s="2" t="s">
        <v>346</v>
      </c>
      <c r="B73" s="2" t="s">
        <v>347</v>
      </c>
      <c r="C73" s="2" t="s">
        <v>14</v>
      </c>
      <c r="D73" s="2" t="s">
        <v>15</v>
      </c>
      <c r="E73" s="2" t="s">
        <v>16</v>
      </c>
      <c r="F73" s="3">
        <f t="shared" si="6"/>
        <v>5491111111111</v>
      </c>
      <c r="G73" s="2" t="s">
        <v>348</v>
      </c>
      <c r="H73" s="2" t="s">
        <v>25</v>
      </c>
      <c r="I73" s="2" t="s">
        <v>241</v>
      </c>
      <c r="J73" s="2" t="s">
        <v>241</v>
      </c>
      <c r="K73" s="4">
        <v>46071.0</v>
      </c>
      <c r="L73" s="2" t="s">
        <v>349</v>
      </c>
    </row>
    <row r="74">
      <c r="A74" s="2" t="s">
        <v>350</v>
      </c>
      <c r="B74" s="2" t="s">
        <v>351</v>
      </c>
      <c r="C74" s="2" t="s">
        <v>14</v>
      </c>
      <c r="D74" s="2" t="s">
        <v>15</v>
      </c>
      <c r="E74" s="2" t="s">
        <v>16</v>
      </c>
      <c r="F74" s="3">
        <f t="shared" si="6"/>
        <v>5491111111111</v>
      </c>
      <c r="G74" s="2" t="s">
        <v>352</v>
      </c>
      <c r="H74" s="2" t="s">
        <v>32</v>
      </c>
      <c r="I74" s="2" t="s">
        <v>25</v>
      </c>
      <c r="J74" s="2" t="s">
        <v>113</v>
      </c>
      <c r="K74" s="4">
        <v>46071.0</v>
      </c>
      <c r="L74" s="2" t="s">
        <v>353</v>
      </c>
    </row>
    <row r="75">
      <c r="A75" s="2" t="s">
        <v>354</v>
      </c>
      <c r="B75" s="2" t="s">
        <v>355</v>
      </c>
      <c r="C75" s="2" t="s">
        <v>14</v>
      </c>
      <c r="D75" s="2" t="s">
        <v>15</v>
      </c>
      <c r="E75" s="2" t="s">
        <v>16</v>
      </c>
      <c r="F75" s="3">
        <f t="shared" si="6"/>
        <v>5491111111111</v>
      </c>
      <c r="G75" s="2" t="s">
        <v>356</v>
      </c>
      <c r="H75" s="2" t="s">
        <v>25</v>
      </c>
      <c r="I75" s="2" t="s">
        <v>357</v>
      </c>
      <c r="J75" s="2" t="s">
        <v>358</v>
      </c>
      <c r="K75" s="4">
        <v>46071.0</v>
      </c>
      <c r="L75" s="2" t="s">
        <v>359</v>
      </c>
    </row>
    <row r="76">
      <c r="A76" s="2" t="s">
        <v>360</v>
      </c>
      <c r="B76" s="2" t="s">
        <v>361</v>
      </c>
      <c r="C76" s="2" t="s">
        <v>14</v>
      </c>
      <c r="D76" s="2" t="s">
        <v>15</v>
      </c>
      <c r="E76" s="2" t="s">
        <v>16</v>
      </c>
      <c r="F76" s="3">
        <f t="shared" si="6"/>
        <v>5491111111111</v>
      </c>
      <c r="G76" s="2" t="s">
        <v>96</v>
      </c>
      <c r="H76" s="2" t="s">
        <v>25</v>
      </c>
      <c r="I76" s="2" t="s">
        <v>97</v>
      </c>
      <c r="J76" s="2" t="s">
        <v>98</v>
      </c>
      <c r="K76" s="4">
        <v>46071.0</v>
      </c>
      <c r="L76" s="2" t="s">
        <v>99</v>
      </c>
    </row>
    <row r="77">
      <c r="A77" s="2" t="s">
        <v>362</v>
      </c>
      <c r="B77" s="2" t="s">
        <v>363</v>
      </c>
      <c r="C77" s="2" t="s">
        <v>14</v>
      </c>
      <c r="D77" s="2" t="s">
        <v>15</v>
      </c>
      <c r="E77" s="2" t="s">
        <v>23</v>
      </c>
      <c r="F77" s="3">
        <f>+549113</f>
        <v>549113</v>
      </c>
      <c r="G77" s="2" t="s">
        <v>364</v>
      </c>
      <c r="H77" s="2" t="s">
        <v>25</v>
      </c>
      <c r="I77" s="2" t="s">
        <v>118</v>
      </c>
      <c r="J77" s="2" t="s">
        <v>118</v>
      </c>
      <c r="K77" s="4">
        <v>46070.0</v>
      </c>
      <c r="L77" s="2" t="s">
        <v>365</v>
      </c>
    </row>
    <row r="78">
      <c r="A78" s="2" t="s">
        <v>366</v>
      </c>
      <c r="B78" s="2" t="s">
        <v>367</v>
      </c>
      <c r="C78" s="2" t="s">
        <v>14</v>
      </c>
      <c r="D78" s="2" t="s">
        <v>15</v>
      </c>
      <c r="E78" s="2" t="s">
        <v>23</v>
      </c>
      <c r="F78" s="3">
        <f>+5491126431353</f>
        <v>5491126431353</v>
      </c>
      <c r="G78" s="2" t="s">
        <v>368</v>
      </c>
      <c r="H78" s="2" t="s">
        <v>25</v>
      </c>
      <c r="I78" s="2" t="s">
        <v>118</v>
      </c>
      <c r="J78" s="2" t="s">
        <v>119</v>
      </c>
      <c r="K78" s="4">
        <v>46067.0</v>
      </c>
      <c r="L78" s="2" t="s">
        <v>369</v>
      </c>
    </row>
    <row r="79">
      <c r="A79" s="2" t="s">
        <v>370</v>
      </c>
      <c r="B79" s="2" t="s">
        <v>371</v>
      </c>
      <c r="C79" s="2" t="s">
        <v>14</v>
      </c>
      <c r="D79" s="2" t="s">
        <v>15</v>
      </c>
      <c r="E79" s="2" t="s">
        <v>16</v>
      </c>
      <c r="F79" s="3">
        <f t="shared" ref="F79:F80" si="7">+5491149702517</f>
        <v>5491149702517</v>
      </c>
      <c r="G79" s="2" t="s">
        <v>372</v>
      </c>
      <c r="H79" s="2" t="s">
        <v>32</v>
      </c>
      <c r="I79" s="2" t="s">
        <v>25</v>
      </c>
      <c r="J79" s="2" t="s">
        <v>373</v>
      </c>
      <c r="K79" s="4">
        <v>46066.0</v>
      </c>
      <c r="L79" s="2" t="s">
        <v>374</v>
      </c>
    </row>
    <row r="80">
      <c r="A80" s="2" t="s">
        <v>375</v>
      </c>
      <c r="B80" s="2" t="s">
        <v>376</v>
      </c>
      <c r="C80" s="2" t="s">
        <v>14</v>
      </c>
      <c r="D80" s="2" t="s">
        <v>15</v>
      </c>
      <c r="E80" s="2" t="s">
        <v>16</v>
      </c>
      <c r="F80" s="3">
        <f t="shared" si="7"/>
        <v>5491149702517</v>
      </c>
      <c r="G80" s="2" t="s">
        <v>372</v>
      </c>
      <c r="H80" s="2" t="s">
        <v>32</v>
      </c>
      <c r="I80" s="2" t="s">
        <v>25</v>
      </c>
      <c r="J80" s="2" t="s">
        <v>373</v>
      </c>
      <c r="K80" s="4">
        <v>46066.0</v>
      </c>
      <c r="L80" s="2" t="s">
        <v>377</v>
      </c>
    </row>
    <row r="81">
      <c r="A81" s="2" t="s">
        <v>378</v>
      </c>
      <c r="B81" s="2" t="s">
        <v>379</v>
      </c>
      <c r="C81" s="2" t="s">
        <v>14</v>
      </c>
      <c r="D81" s="2" t="s">
        <v>15</v>
      </c>
      <c r="E81" s="2" t="s">
        <v>23</v>
      </c>
      <c r="F81" s="3">
        <f>+5491131485490</f>
        <v>5491131485490</v>
      </c>
      <c r="G81" s="2" t="s">
        <v>380</v>
      </c>
      <c r="H81" s="2" t="s">
        <v>25</v>
      </c>
      <c r="I81" s="2" t="s">
        <v>118</v>
      </c>
      <c r="J81" s="2" t="s">
        <v>381</v>
      </c>
      <c r="K81" s="4">
        <v>46065.0</v>
      </c>
      <c r="L81" s="2" t="s">
        <v>382</v>
      </c>
    </row>
    <row r="82">
      <c r="A82" s="2" t="s">
        <v>383</v>
      </c>
      <c r="B82" s="2" t="s">
        <v>384</v>
      </c>
      <c r="C82" s="2" t="s">
        <v>14</v>
      </c>
      <c r="D82" s="2" t="s">
        <v>15</v>
      </c>
      <c r="E82" s="2" t="s">
        <v>23</v>
      </c>
      <c r="F82" s="3">
        <f>+5491162032020</f>
        <v>5491162032020</v>
      </c>
      <c r="G82" s="2" t="s">
        <v>385</v>
      </c>
      <c r="H82" s="2" t="s">
        <v>25</v>
      </c>
      <c r="I82" s="2" t="s">
        <v>118</v>
      </c>
      <c r="J82" s="2" t="s">
        <v>124</v>
      </c>
      <c r="K82" s="4">
        <v>46065.0</v>
      </c>
      <c r="L82" s="2" t="s">
        <v>386</v>
      </c>
    </row>
    <row r="83">
      <c r="A83" s="2" t="s">
        <v>387</v>
      </c>
      <c r="B83" s="2" t="s">
        <v>388</v>
      </c>
      <c r="C83" s="2" t="s">
        <v>14</v>
      </c>
      <c r="D83" s="2" t="s">
        <v>15</v>
      </c>
      <c r="E83" s="2" t="s">
        <v>23</v>
      </c>
      <c r="F83" s="3">
        <f>+5491125000205</f>
        <v>5491125000205</v>
      </c>
      <c r="G83" s="2" t="s">
        <v>389</v>
      </c>
      <c r="H83" s="2" t="s">
        <v>25</v>
      </c>
      <c r="I83" s="2" t="s">
        <v>118</v>
      </c>
      <c r="J83" s="2" t="s">
        <v>124</v>
      </c>
      <c r="K83" s="4">
        <v>46065.0</v>
      </c>
      <c r="L83" s="2" t="s">
        <v>390</v>
      </c>
    </row>
    <row r="84">
      <c r="A84" s="2" t="s">
        <v>391</v>
      </c>
      <c r="B84" s="2" t="s">
        <v>392</v>
      </c>
      <c r="C84" s="2" t="s">
        <v>14</v>
      </c>
      <c r="D84" s="2" t="s">
        <v>15</v>
      </c>
      <c r="E84" s="2" t="s">
        <v>23</v>
      </c>
      <c r="F84" s="3">
        <f>+5491137955622</f>
        <v>5491137955622</v>
      </c>
      <c r="G84" s="2" t="s">
        <v>393</v>
      </c>
      <c r="H84" s="2" t="s">
        <v>25</v>
      </c>
      <c r="I84" s="2" t="s">
        <v>118</v>
      </c>
      <c r="J84" s="2" t="s">
        <v>119</v>
      </c>
      <c r="K84" s="4">
        <v>46065.0</v>
      </c>
      <c r="L84" s="2" t="s">
        <v>394</v>
      </c>
    </row>
    <row r="85">
      <c r="A85" s="2" t="s">
        <v>395</v>
      </c>
      <c r="B85" s="2" t="s">
        <v>396</v>
      </c>
      <c r="C85" s="2" t="s">
        <v>14</v>
      </c>
      <c r="D85" s="2" t="s">
        <v>15</v>
      </c>
      <c r="E85" s="2" t="s">
        <v>16</v>
      </c>
      <c r="F85" s="3">
        <f t="shared" ref="F85:F105" si="8">+5491111111111</f>
        <v>5491111111111</v>
      </c>
      <c r="G85" s="2" t="s">
        <v>397</v>
      </c>
      <c r="H85" s="2" t="s">
        <v>71</v>
      </c>
      <c r="I85" s="2" t="s">
        <v>72</v>
      </c>
      <c r="J85" s="2" t="s">
        <v>398</v>
      </c>
      <c r="K85" s="4">
        <v>46113.0</v>
      </c>
      <c r="L85" s="2" t="s">
        <v>399</v>
      </c>
    </row>
    <row r="86">
      <c r="A86" s="2" t="s">
        <v>400</v>
      </c>
      <c r="B86" s="2" t="s">
        <v>401</v>
      </c>
      <c r="C86" s="2" t="s">
        <v>14</v>
      </c>
      <c r="D86" s="2" t="s">
        <v>15</v>
      </c>
      <c r="E86" s="2" t="s">
        <v>16</v>
      </c>
      <c r="F86" s="3">
        <f t="shared" si="8"/>
        <v>5491111111111</v>
      </c>
      <c r="G86" s="2" t="s">
        <v>402</v>
      </c>
      <c r="H86" s="2" t="s">
        <v>32</v>
      </c>
      <c r="I86" s="2" t="s">
        <v>25</v>
      </c>
      <c r="J86" s="2" t="s">
        <v>403</v>
      </c>
      <c r="K86" s="4">
        <v>46113.0</v>
      </c>
      <c r="L86" s="2" t="s">
        <v>404</v>
      </c>
    </row>
    <row r="87">
      <c r="A87" s="2" t="s">
        <v>405</v>
      </c>
      <c r="B87" s="2" t="s">
        <v>406</v>
      </c>
      <c r="C87" s="2" t="s">
        <v>14</v>
      </c>
      <c r="D87" s="2" t="s">
        <v>15</v>
      </c>
      <c r="E87" s="2" t="s">
        <v>16</v>
      </c>
      <c r="F87" s="3">
        <f t="shared" si="8"/>
        <v>5491111111111</v>
      </c>
      <c r="G87" s="2" t="s">
        <v>407</v>
      </c>
      <c r="H87" s="2" t="s">
        <v>32</v>
      </c>
      <c r="I87" s="2" t="s">
        <v>25</v>
      </c>
      <c r="J87" s="2" t="s">
        <v>408</v>
      </c>
      <c r="K87" s="4">
        <v>46113.0</v>
      </c>
      <c r="L87" s="2" t="s">
        <v>409</v>
      </c>
    </row>
    <row r="88">
      <c r="A88" s="2" t="s">
        <v>410</v>
      </c>
      <c r="B88" s="2" t="s">
        <v>411</v>
      </c>
      <c r="C88" s="2" t="s">
        <v>14</v>
      </c>
      <c r="D88" s="2" t="s">
        <v>15</v>
      </c>
      <c r="E88" s="2" t="s">
        <v>16</v>
      </c>
      <c r="F88" s="3">
        <f t="shared" si="8"/>
        <v>5491111111111</v>
      </c>
      <c r="G88" s="2" t="s">
        <v>412</v>
      </c>
      <c r="H88" s="2" t="s">
        <v>25</v>
      </c>
      <c r="I88" s="2" t="s">
        <v>357</v>
      </c>
      <c r="J88" s="2" t="s">
        <v>413</v>
      </c>
      <c r="K88" s="4">
        <v>46113.0</v>
      </c>
      <c r="L88" s="2" t="s">
        <v>414</v>
      </c>
    </row>
    <row r="89">
      <c r="A89" s="2" t="s">
        <v>415</v>
      </c>
      <c r="B89" s="2" t="s">
        <v>416</v>
      </c>
      <c r="C89" s="2" t="s">
        <v>14</v>
      </c>
      <c r="D89" s="2" t="s">
        <v>15</v>
      </c>
      <c r="E89" s="2" t="s">
        <v>16</v>
      </c>
      <c r="F89" s="3">
        <f t="shared" si="8"/>
        <v>5491111111111</v>
      </c>
      <c r="G89" s="2" t="s">
        <v>417</v>
      </c>
      <c r="H89" s="2" t="s">
        <v>25</v>
      </c>
      <c r="I89" s="2" t="s">
        <v>49</v>
      </c>
      <c r="J89" s="2" t="s">
        <v>418</v>
      </c>
      <c r="K89" s="4">
        <v>46113.0</v>
      </c>
      <c r="L89" s="2" t="s">
        <v>419</v>
      </c>
    </row>
    <row r="90">
      <c r="A90" s="2" t="s">
        <v>420</v>
      </c>
      <c r="B90" s="2" t="s">
        <v>421</v>
      </c>
      <c r="C90" s="2" t="s">
        <v>14</v>
      </c>
      <c r="D90" s="2" t="s">
        <v>15</v>
      </c>
      <c r="E90" s="2" t="s">
        <v>16</v>
      </c>
      <c r="F90" s="3">
        <f t="shared" si="8"/>
        <v>5491111111111</v>
      </c>
      <c r="G90" s="2" t="s">
        <v>422</v>
      </c>
      <c r="H90" s="2" t="s">
        <v>25</v>
      </c>
      <c r="I90" s="2" t="s">
        <v>78</v>
      </c>
      <c r="J90" s="2" t="s">
        <v>423</v>
      </c>
      <c r="K90" s="4">
        <v>46113.0</v>
      </c>
      <c r="L90" s="2" t="s">
        <v>424</v>
      </c>
    </row>
    <row r="91">
      <c r="A91" s="2" t="s">
        <v>425</v>
      </c>
      <c r="B91" s="2" t="s">
        <v>426</v>
      </c>
      <c r="C91" s="2" t="s">
        <v>14</v>
      </c>
      <c r="D91" s="2" t="s">
        <v>15</v>
      </c>
      <c r="E91" s="2" t="s">
        <v>16</v>
      </c>
      <c r="F91" s="3">
        <f t="shared" si="8"/>
        <v>5491111111111</v>
      </c>
      <c r="G91" s="2" t="s">
        <v>427</v>
      </c>
      <c r="H91" s="2" t="s">
        <v>25</v>
      </c>
      <c r="I91" s="2" t="s">
        <v>26</v>
      </c>
      <c r="J91" s="2" t="s">
        <v>428</v>
      </c>
      <c r="K91" s="4">
        <v>46113.0</v>
      </c>
      <c r="L91" s="2" t="s">
        <v>429</v>
      </c>
    </row>
    <row r="92">
      <c r="A92" s="2" t="s">
        <v>430</v>
      </c>
      <c r="B92" s="2" t="s">
        <v>431</v>
      </c>
      <c r="C92" s="2" t="s">
        <v>14</v>
      </c>
      <c r="D92" s="2" t="s">
        <v>15</v>
      </c>
      <c r="E92" s="2" t="s">
        <v>16</v>
      </c>
      <c r="F92" s="3">
        <f t="shared" si="8"/>
        <v>5491111111111</v>
      </c>
      <c r="G92" s="2" t="s">
        <v>432</v>
      </c>
      <c r="H92" s="2" t="s">
        <v>32</v>
      </c>
      <c r="I92" s="2" t="s">
        <v>25</v>
      </c>
      <c r="J92" s="2" t="s">
        <v>433</v>
      </c>
      <c r="K92" s="4">
        <v>46113.0</v>
      </c>
      <c r="L92" s="2" t="s">
        <v>434</v>
      </c>
    </row>
    <row r="93">
      <c r="A93" s="2" t="s">
        <v>435</v>
      </c>
      <c r="B93" s="2" t="s">
        <v>436</v>
      </c>
      <c r="C93" s="2" t="s">
        <v>14</v>
      </c>
      <c r="D93" s="2" t="s">
        <v>15</v>
      </c>
      <c r="E93" s="2" t="s">
        <v>16</v>
      </c>
      <c r="F93" s="3">
        <f t="shared" si="8"/>
        <v>5491111111111</v>
      </c>
      <c r="G93" s="2" t="s">
        <v>437</v>
      </c>
      <c r="H93" s="2" t="s">
        <v>25</v>
      </c>
      <c r="I93" s="2" t="s">
        <v>314</v>
      </c>
      <c r="J93" s="2" t="s">
        <v>438</v>
      </c>
      <c r="K93" s="4">
        <v>46113.0</v>
      </c>
      <c r="L93" s="2" t="s">
        <v>439</v>
      </c>
    </row>
    <row r="94">
      <c r="A94" s="2" t="s">
        <v>440</v>
      </c>
      <c r="B94" s="2" t="s">
        <v>441</v>
      </c>
      <c r="C94" s="2" t="s">
        <v>14</v>
      </c>
      <c r="D94" s="2" t="s">
        <v>15</v>
      </c>
      <c r="E94" s="2" t="s">
        <v>16</v>
      </c>
      <c r="F94" s="3">
        <f t="shared" si="8"/>
        <v>5491111111111</v>
      </c>
      <c r="G94" s="2" t="s">
        <v>442</v>
      </c>
      <c r="H94" s="2" t="s">
        <v>25</v>
      </c>
      <c r="I94" s="2" t="s">
        <v>97</v>
      </c>
      <c r="J94" s="2" t="s">
        <v>98</v>
      </c>
      <c r="K94" s="4">
        <v>46113.0</v>
      </c>
      <c r="L94" s="2" t="s">
        <v>443</v>
      </c>
    </row>
    <row r="95">
      <c r="A95" s="2" t="s">
        <v>444</v>
      </c>
      <c r="B95" s="2" t="s">
        <v>445</v>
      </c>
      <c r="C95" s="2" t="s">
        <v>14</v>
      </c>
      <c r="D95" s="2" t="s">
        <v>15</v>
      </c>
      <c r="E95" s="2" t="s">
        <v>16</v>
      </c>
      <c r="F95" s="3">
        <f t="shared" si="8"/>
        <v>5491111111111</v>
      </c>
      <c r="G95" s="2" t="s">
        <v>446</v>
      </c>
      <c r="H95" s="2" t="s">
        <v>25</v>
      </c>
      <c r="I95" s="2" t="s">
        <v>118</v>
      </c>
      <c r="J95" s="2" t="s">
        <v>381</v>
      </c>
      <c r="K95" s="4">
        <v>46113.0</v>
      </c>
      <c r="L95" s="2" t="s">
        <v>447</v>
      </c>
    </row>
    <row r="96">
      <c r="A96" s="2" t="s">
        <v>448</v>
      </c>
      <c r="B96" s="2" t="s">
        <v>449</v>
      </c>
      <c r="C96" s="2" t="s">
        <v>14</v>
      </c>
      <c r="D96" s="2" t="s">
        <v>15</v>
      </c>
      <c r="E96" s="2" t="s">
        <v>16</v>
      </c>
      <c r="F96" s="3">
        <f t="shared" si="8"/>
        <v>5491111111111</v>
      </c>
      <c r="G96" s="2" t="s">
        <v>450</v>
      </c>
      <c r="H96" s="2" t="s">
        <v>25</v>
      </c>
      <c r="I96" s="2" t="s">
        <v>84</v>
      </c>
      <c r="J96" s="2" t="s">
        <v>85</v>
      </c>
      <c r="K96" s="4">
        <v>46113.0</v>
      </c>
      <c r="L96" s="2" t="s">
        <v>451</v>
      </c>
    </row>
    <row r="97">
      <c r="A97" s="2" t="s">
        <v>452</v>
      </c>
      <c r="B97" s="2" t="s">
        <v>453</v>
      </c>
      <c r="C97" s="2" t="s">
        <v>14</v>
      </c>
      <c r="D97" s="2" t="s">
        <v>15</v>
      </c>
      <c r="E97" s="2" t="s">
        <v>16</v>
      </c>
      <c r="F97" s="3">
        <f t="shared" si="8"/>
        <v>5491111111111</v>
      </c>
      <c r="G97" s="2" t="s">
        <v>454</v>
      </c>
      <c r="H97" s="2" t="s">
        <v>25</v>
      </c>
      <c r="I97" s="2" t="s">
        <v>26</v>
      </c>
      <c r="J97" s="2" t="s">
        <v>455</v>
      </c>
      <c r="K97" s="4">
        <v>46113.0</v>
      </c>
      <c r="L97" s="2" t="s">
        <v>456</v>
      </c>
    </row>
    <row r="98">
      <c r="A98" s="2" t="s">
        <v>457</v>
      </c>
      <c r="B98" s="2" t="s">
        <v>458</v>
      </c>
      <c r="C98" s="2" t="s">
        <v>14</v>
      </c>
      <c r="D98" s="2" t="s">
        <v>15</v>
      </c>
      <c r="E98" s="2" t="s">
        <v>16</v>
      </c>
      <c r="F98" s="3">
        <f t="shared" si="8"/>
        <v>5491111111111</v>
      </c>
      <c r="G98" s="2" t="s">
        <v>459</v>
      </c>
      <c r="H98" s="2" t="s">
        <v>25</v>
      </c>
      <c r="I98" s="2" t="s">
        <v>78</v>
      </c>
      <c r="J98" s="2" t="s">
        <v>78</v>
      </c>
      <c r="K98" s="4">
        <v>46112.0</v>
      </c>
      <c r="L98" s="2" t="s">
        <v>460</v>
      </c>
    </row>
    <row r="99">
      <c r="A99" s="2" t="s">
        <v>461</v>
      </c>
      <c r="B99" s="2" t="s">
        <v>462</v>
      </c>
      <c r="C99" s="2" t="s">
        <v>14</v>
      </c>
      <c r="D99" s="2" t="s">
        <v>15</v>
      </c>
      <c r="E99" s="2" t="s">
        <v>16</v>
      </c>
      <c r="F99" s="3">
        <f t="shared" si="8"/>
        <v>5491111111111</v>
      </c>
      <c r="G99" s="2" t="s">
        <v>463</v>
      </c>
      <c r="H99" s="2" t="s">
        <v>25</v>
      </c>
      <c r="I99" s="2" t="s">
        <v>246</v>
      </c>
      <c r="J99" s="2" t="s">
        <v>247</v>
      </c>
      <c r="K99" s="4">
        <v>46112.0</v>
      </c>
      <c r="L99" s="2" t="s">
        <v>464</v>
      </c>
    </row>
    <row r="100">
      <c r="A100" s="2" t="s">
        <v>465</v>
      </c>
      <c r="B100" s="2" t="s">
        <v>466</v>
      </c>
      <c r="C100" s="2" t="s">
        <v>14</v>
      </c>
      <c r="D100" s="2" t="s">
        <v>15</v>
      </c>
      <c r="E100" s="2" t="s">
        <v>16</v>
      </c>
      <c r="F100" s="3">
        <f t="shared" si="8"/>
        <v>5491111111111</v>
      </c>
      <c r="G100" s="2" t="s">
        <v>467</v>
      </c>
      <c r="H100" s="2" t="s">
        <v>25</v>
      </c>
      <c r="I100" s="2" t="s">
        <v>44</v>
      </c>
      <c r="J100" s="2" t="s">
        <v>468</v>
      </c>
      <c r="K100" s="4">
        <v>46112.0</v>
      </c>
      <c r="L100" s="2" t="s">
        <v>469</v>
      </c>
    </row>
    <row r="101">
      <c r="A101" s="2" t="s">
        <v>470</v>
      </c>
      <c r="B101" s="2" t="s">
        <v>471</v>
      </c>
      <c r="C101" s="2" t="s">
        <v>14</v>
      </c>
      <c r="D101" s="2" t="s">
        <v>15</v>
      </c>
      <c r="E101" s="2" t="s">
        <v>16</v>
      </c>
      <c r="F101" s="3">
        <f t="shared" si="8"/>
        <v>5491111111111</v>
      </c>
      <c r="G101" s="2" t="s">
        <v>472</v>
      </c>
      <c r="H101" s="2" t="s">
        <v>25</v>
      </c>
      <c r="I101" s="2" t="s">
        <v>357</v>
      </c>
      <c r="J101" s="2" t="s">
        <v>357</v>
      </c>
      <c r="K101" s="4">
        <v>46112.0</v>
      </c>
      <c r="L101" s="2" t="s">
        <v>473</v>
      </c>
    </row>
    <row r="102">
      <c r="A102" s="2" t="s">
        <v>474</v>
      </c>
      <c r="B102" s="2" t="s">
        <v>475</v>
      </c>
      <c r="C102" s="2" t="s">
        <v>14</v>
      </c>
      <c r="D102" s="2" t="s">
        <v>15</v>
      </c>
      <c r="E102" s="2" t="s">
        <v>16</v>
      </c>
      <c r="F102" s="3">
        <f t="shared" si="8"/>
        <v>5491111111111</v>
      </c>
      <c r="G102" s="2" t="s">
        <v>476</v>
      </c>
      <c r="H102" s="2" t="s">
        <v>32</v>
      </c>
      <c r="I102" s="2" t="s">
        <v>25</v>
      </c>
      <c r="J102" s="2" t="s">
        <v>266</v>
      </c>
      <c r="K102" s="4">
        <v>46112.0</v>
      </c>
      <c r="L102" s="2" t="s">
        <v>477</v>
      </c>
    </row>
    <row r="103">
      <c r="A103" s="2" t="s">
        <v>478</v>
      </c>
      <c r="B103" s="2" t="s">
        <v>479</v>
      </c>
      <c r="C103" s="2" t="s">
        <v>14</v>
      </c>
      <c r="D103" s="2" t="s">
        <v>15</v>
      </c>
      <c r="E103" s="2" t="s">
        <v>16</v>
      </c>
      <c r="F103" s="3">
        <f t="shared" si="8"/>
        <v>5491111111111</v>
      </c>
      <c r="G103" s="2" t="s">
        <v>480</v>
      </c>
      <c r="H103" s="2" t="s">
        <v>25</v>
      </c>
      <c r="I103" s="2" t="s">
        <v>481</v>
      </c>
      <c r="J103" s="2" t="s">
        <v>481</v>
      </c>
      <c r="K103" s="4">
        <v>46112.0</v>
      </c>
      <c r="L103" s="2" t="s">
        <v>482</v>
      </c>
    </row>
    <row r="104">
      <c r="A104" s="2" t="s">
        <v>483</v>
      </c>
      <c r="B104" s="2" t="s">
        <v>484</v>
      </c>
      <c r="C104" s="2" t="s">
        <v>14</v>
      </c>
      <c r="D104" s="2" t="s">
        <v>15</v>
      </c>
      <c r="E104" s="2" t="s">
        <v>16</v>
      </c>
      <c r="F104" s="3">
        <f t="shared" si="8"/>
        <v>5491111111111</v>
      </c>
      <c r="G104" s="2" t="s">
        <v>485</v>
      </c>
      <c r="H104" s="2" t="s">
        <v>25</v>
      </c>
      <c r="I104" s="2" t="s">
        <v>486</v>
      </c>
      <c r="J104" s="2" t="s">
        <v>487</v>
      </c>
      <c r="K104" s="4">
        <v>46112.0</v>
      </c>
      <c r="L104" s="2" t="s">
        <v>488</v>
      </c>
    </row>
    <row r="105">
      <c r="A105" s="2" t="s">
        <v>489</v>
      </c>
      <c r="B105" s="2" t="s">
        <v>490</v>
      </c>
      <c r="C105" s="2" t="s">
        <v>14</v>
      </c>
      <c r="D105" s="2" t="s">
        <v>15</v>
      </c>
      <c r="E105" s="2" t="s">
        <v>16</v>
      </c>
      <c r="F105" s="3">
        <f t="shared" si="8"/>
        <v>5491111111111</v>
      </c>
      <c r="G105" s="2" t="s">
        <v>472</v>
      </c>
      <c r="H105" s="2" t="s">
        <v>25</v>
      </c>
      <c r="I105" s="2" t="s">
        <v>357</v>
      </c>
      <c r="J105" s="2" t="s">
        <v>357</v>
      </c>
      <c r="K105" s="4">
        <v>46112.0</v>
      </c>
      <c r="L105" s="2" t="s">
        <v>473</v>
      </c>
    </row>
    <row r="106">
      <c r="A106" s="2" t="s">
        <v>491</v>
      </c>
      <c r="B106" s="2" t="s">
        <v>492</v>
      </c>
      <c r="C106" s="2" t="s">
        <v>493</v>
      </c>
      <c r="D106" s="2" t="s">
        <v>15</v>
      </c>
      <c r="E106" s="2" t="s">
        <v>16</v>
      </c>
      <c r="F106" s="3">
        <f>+541135807332</f>
        <v>541135807332</v>
      </c>
      <c r="G106" s="2" t="s">
        <v>494</v>
      </c>
      <c r="H106" s="2" t="s">
        <v>32</v>
      </c>
      <c r="I106" s="2" t="s">
        <v>25</v>
      </c>
      <c r="J106" s="2" t="s">
        <v>213</v>
      </c>
      <c r="K106" s="4">
        <v>46112.0</v>
      </c>
      <c r="L106" s="2" t="s">
        <v>495</v>
      </c>
    </row>
    <row r="107">
      <c r="A107" s="2" t="s">
        <v>496</v>
      </c>
      <c r="B107" s="2" t="s">
        <v>497</v>
      </c>
      <c r="C107" s="2" t="s">
        <v>14</v>
      </c>
      <c r="D107" s="2" t="s">
        <v>15</v>
      </c>
      <c r="E107" s="2" t="s">
        <v>16</v>
      </c>
      <c r="F107" s="3">
        <f>+5491111111111</f>
        <v>5491111111111</v>
      </c>
      <c r="G107" s="2" t="s">
        <v>498</v>
      </c>
      <c r="H107" s="2" t="s">
        <v>71</v>
      </c>
      <c r="I107" s="2" t="s">
        <v>72</v>
      </c>
      <c r="J107" s="2" t="s">
        <v>73</v>
      </c>
      <c r="K107" s="4">
        <v>46112.0</v>
      </c>
      <c r="L107" s="2" t="s">
        <v>499</v>
      </c>
    </row>
    <row r="108">
      <c r="A108" s="2" t="s">
        <v>500</v>
      </c>
      <c r="B108" s="2" t="s">
        <v>501</v>
      </c>
      <c r="C108" s="2" t="s">
        <v>14</v>
      </c>
      <c r="D108" s="2" t="s">
        <v>15</v>
      </c>
      <c r="E108" s="2" t="s">
        <v>23</v>
      </c>
      <c r="F108" s="3">
        <f>+5491164832936</f>
        <v>5491164832936</v>
      </c>
      <c r="G108" s="2" t="s">
        <v>502</v>
      </c>
      <c r="H108" s="2" t="s">
        <v>25</v>
      </c>
      <c r="I108" s="2" t="s">
        <v>118</v>
      </c>
      <c r="J108" s="2" t="s">
        <v>124</v>
      </c>
      <c r="K108" s="4">
        <v>46112.0</v>
      </c>
      <c r="L108" s="2" t="s">
        <v>503</v>
      </c>
    </row>
    <row r="109">
      <c r="A109" s="2" t="s">
        <v>504</v>
      </c>
      <c r="B109" s="2" t="s">
        <v>505</v>
      </c>
      <c r="C109" s="2" t="s">
        <v>14</v>
      </c>
      <c r="D109" s="2" t="s">
        <v>15</v>
      </c>
      <c r="E109" s="2" t="s">
        <v>16</v>
      </c>
      <c r="F109" s="3">
        <f t="shared" ref="F109:F112" si="9">+5491111111111</f>
        <v>5491111111111</v>
      </c>
      <c r="G109" s="2" t="s">
        <v>506</v>
      </c>
      <c r="H109" s="2" t="s">
        <v>25</v>
      </c>
      <c r="I109" s="2" t="s">
        <v>97</v>
      </c>
      <c r="J109" s="2" t="s">
        <v>507</v>
      </c>
      <c r="K109" s="4">
        <v>46112.0</v>
      </c>
      <c r="L109" s="2" t="s">
        <v>508</v>
      </c>
    </row>
    <row r="110">
      <c r="A110" s="2" t="s">
        <v>509</v>
      </c>
      <c r="B110" s="2" t="s">
        <v>510</v>
      </c>
      <c r="C110" s="2" t="s">
        <v>14</v>
      </c>
      <c r="D110" s="2" t="s">
        <v>15</v>
      </c>
      <c r="E110" s="2" t="s">
        <v>16</v>
      </c>
      <c r="F110" s="3">
        <f t="shared" si="9"/>
        <v>5491111111111</v>
      </c>
      <c r="G110" s="2" t="s">
        <v>511</v>
      </c>
      <c r="H110" s="2" t="s">
        <v>25</v>
      </c>
      <c r="I110" s="2" t="s">
        <v>97</v>
      </c>
      <c r="J110" s="2" t="s">
        <v>97</v>
      </c>
      <c r="K110" s="4">
        <v>46112.0</v>
      </c>
      <c r="L110" s="2" t="s">
        <v>512</v>
      </c>
    </row>
    <row r="111">
      <c r="A111" s="2" t="s">
        <v>513</v>
      </c>
      <c r="B111" s="2" t="s">
        <v>514</v>
      </c>
      <c r="C111" s="2" t="s">
        <v>14</v>
      </c>
      <c r="D111" s="2" t="s">
        <v>15</v>
      </c>
      <c r="E111" s="2" t="s">
        <v>16</v>
      </c>
      <c r="F111" s="3">
        <f t="shared" si="9"/>
        <v>5491111111111</v>
      </c>
      <c r="G111" s="2" t="s">
        <v>515</v>
      </c>
      <c r="H111" s="2" t="s">
        <v>25</v>
      </c>
      <c r="I111" s="2" t="s">
        <v>236</v>
      </c>
      <c r="J111" s="2" t="s">
        <v>236</v>
      </c>
      <c r="K111" s="4">
        <v>46112.0</v>
      </c>
      <c r="L111" s="2" t="s">
        <v>516</v>
      </c>
    </row>
    <row r="112">
      <c r="A112" s="2" t="s">
        <v>517</v>
      </c>
      <c r="B112" s="2" t="s">
        <v>518</v>
      </c>
      <c r="C112" s="2" t="s">
        <v>14</v>
      </c>
      <c r="D112" s="2" t="s">
        <v>15</v>
      </c>
      <c r="E112" s="2" t="s">
        <v>16</v>
      </c>
      <c r="F112" s="3">
        <f t="shared" si="9"/>
        <v>5491111111111</v>
      </c>
      <c r="G112" s="2" t="s">
        <v>472</v>
      </c>
      <c r="H112" s="2" t="s">
        <v>25</v>
      </c>
      <c r="I112" s="2" t="s">
        <v>357</v>
      </c>
      <c r="J112" s="2" t="s">
        <v>357</v>
      </c>
      <c r="K112" s="4">
        <v>46112.0</v>
      </c>
      <c r="L112" s="2" t="s">
        <v>473</v>
      </c>
    </row>
    <row r="113">
      <c r="A113" s="2" t="s">
        <v>519</v>
      </c>
      <c r="B113" s="2" t="s">
        <v>520</v>
      </c>
      <c r="C113" s="2" t="s">
        <v>14</v>
      </c>
      <c r="D113" s="2" t="s">
        <v>15</v>
      </c>
      <c r="E113" s="2" t="s">
        <v>23</v>
      </c>
      <c r="F113" s="3">
        <f>+5491171540351</f>
        <v>5491171540351</v>
      </c>
      <c r="G113" s="2" t="s">
        <v>521</v>
      </c>
      <c r="H113" s="2" t="s">
        <v>25</v>
      </c>
      <c r="I113" s="2" t="s">
        <v>118</v>
      </c>
      <c r="J113" s="2" t="s">
        <v>198</v>
      </c>
      <c r="K113" s="4">
        <v>46111.0</v>
      </c>
      <c r="L113" s="2" t="s">
        <v>522</v>
      </c>
    </row>
    <row r="114">
      <c r="A114" s="2" t="s">
        <v>523</v>
      </c>
      <c r="B114" s="2" t="s">
        <v>524</v>
      </c>
      <c r="C114" s="2" t="s">
        <v>14</v>
      </c>
      <c r="D114" s="2" t="s">
        <v>15</v>
      </c>
      <c r="E114" s="2" t="s">
        <v>23</v>
      </c>
      <c r="F114" s="3">
        <f>+54901125883773</f>
        <v>54901125883773</v>
      </c>
      <c r="G114" s="2" t="s">
        <v>525</v>
      </c>
      <c r="H114" s="2" t="s">
        <v>25</v>
      </c>
      <c r="I114" s="2" t="s">
        <v>118</v>
      </c>
      <c r="J114" s="2" t="s">
        <v>119</v>
      </c>
      <c r="K114" s="4">
        <v>46111.0</v>
      </c>
      <c r="L114" s="2" t="s">
        <v>526</v>
      </c>
    </row>
    <row r="115">
      <c r="A115" s="2" t="s">
        <v>527</v>
      </c>
      <c r="B115" s="2" t="s">
        <v>528</v>
      </c>
      <c r="C115" s="2" t="s">
        <v>14</v>
      </c>
      <c r="D115" s="2" t="s">
        <v>15</v>
      </c>
      <c r="E115" s="2" t="s">
        <v>16</v>
      </c>
      <c r="F115" s="3">
        <f>+5491166569720</f>
        <v>5491166569720</v>
      </c>
      <c r="G115" s="2" t="s">
        <v>529</v>
      </c>
      <c r="H115" s="2" t="s">
        <v>25</v>
      </c>
      <c r="I115" s="2" t="s">
        <v>118</v>
      </c>
      <c r="J115" s="2" t="s">
        <v>118</v>
      </c>
      <c r="K115" s="4">
        <v>46108.0</v>
      </c>
      <c r="L115" s="2" t="s">
        <v>530</v>
      </c>
    </row>
    <row r="116">
      <c r="A116" s="2" t="s">
        <v>531</v>
      </c>
      <c r="B116" s="2" t="s">
        <v>532</v>
      </c>
      <c r="C116" s="2" t="s">
        <v>533</v>
      </c>
      <c r="D116" s="2" t="s">
        <v>15</v>
      </c>
      <c r="E116" s="2" t="s">
        <v>23</v>
      </c>
      <c r="F116" s="3">
        <f>+5493541330054</f>
        <v>5493541330054</v>
      </c>
      <c r="G116" s="2" t="s">
        <v>534</v>
      </c>
      <c r="H116" s="2" t="s">
        <v>18</v>
      </c>
      <c r="I116" s="2" t="s">
        <v>535</v>
      </c>
      <c r="J116" s="2" t="s">
        <v>536</v>
      </c>
      <c r="K116" s="4">
        <v>46108.0</v>
      </c>
      <c r="L116" s="2" t="s">
        <v>537</v>
      </c>
    </row>
    <row r="117">
      <c r="A117" s="2" t="s">
        <v>538</v>
      </c>
      <c r="B117" s="2" t="s">
        <v>539</v>
      </c>
      <c r="C117" s="2" t="s">
        <v>14</v>
      </c>
      <c r="D117" s="2" t="s">
        <v>15</v>
      </c>
      <c r="E117" s="2" t="s">
        <v>23</v>
      </c>
      <c r="F117" s="3">
        <f>+5493513400519</f>
        <v>5493513400519</v>
      </c>
      <c r="G117" s="2" t="s">
        <v>540</v>
      </c>
      <c r="H117" s="2" t="s">
        <v>18</v>
      </c>
      <c r="I117" s="2" t="s">
        <v>535</v>
      </c>
      <c r="J117" s="2" t="s">
        <v>541</v>
      </c>
      <c r="K117" s="4">
        <v>46107.0</v>
      </c>
      <c r="L117" s="2" t="s">
        <v>542</v>
      </c>
    </row>
    <row r="118">
      <c r="A118" s="2" t="s">
        <v>543</v>
      </c>
      <c r="B118" s="2" t="s">
        <v>544</v>
      </c>
      <c r="C118" s="2" t="s">
        <v>14</v>
      </c>
      <c r="D118" s="2" t="s">
        <v>15</v>
      </c>
      <c r="E118" s="2" t="s">
        <v>23</v>
      </c>
      <c r="F118" s="3">
        <f>+5491168166225</f>
        <v>5491168166225</v>
      </c>
      <c r="G118" s="2" t="s">
        <v>545</v>
      </c>
      <c r="H118" s="2" t="s">
        <v>25</v>
      </c>
      <c r="I118" s="2" t="s">
        <v>118</v>
      </c>
      <c r="J118" s="2" t="s">
        <v>119</v>
      </c>
      <c r="K118" s="4">
        <v>46107.0</v>
      </c>
      <c r="L118" s="2" t="s">
        <v>546</v>
      </c>
    </row>
    <row r="119">
      <c r="A119" s="2" t="s">
        <v>547</v>
      </c>
      <c r="B119" s="2" t="s">
        <v>548</v>
      </c>
      <c r="C119" s="2" t="s">
        <v>14</v>
      </c>
      <c r="D119" s="2" t="s">
        <v>15</v>
      </c>
      <c r="E119" s="2" t="s">
        <v>16</v>
      </c>
      <c r="F119" s="3">
        <f>+5491135936146</f>
        <v>5491135936146</v>
      </c>
      <c r="G119" s="2" t="s">
        <v>549</v>
      </c>
      <c r="H119" s="2" t="s">
        <v>25</v>
      </c>
      <c r="I119" s="2" t="s">
        <v>550</v>
      </c>
      <c r="J119" s="2" t="s">
        <v>550</v>
      </c>
      <c r="K119" s="4">
        <v>46106.0</v>
      </c>
      <c r="L119" s="2" t="s">
        <v>551</v>
      </c>
    </row>
    <row r="120">
      <c r="A120" s="2" t="s">
        <v>552</v>
      </c>
      <c r="B120" s="2" t="s">
        <v>553</v>
      </c>
      <c r="C120" s="2" t="s">
        <v>14</v>
      </c>
      <c r="D120" s="2" t="s">
        <v>15</v>
      </c>
      <c r="E120" s="2" t="s">
        <v>16</v>
      </c>
      <c r="F120" s="3">
        <f>+5491144193547</f>
        <v>5491144193547</v>
      </c>
      <c r="G120" s="2" t="s">
        <v>554</v>
      </c>
      <c r="H120" s="2" t="s">
        <v>25</v>
      </c>
      <c r="I120" s="2" t="s">
        <v>38</v>
      </c>
      <c r="J120" s="2" t="s">
        <v>39</v>
      </c>
      <c r="K120" s="4">
        <v>46106.0</v>
      </c>
      <c r="L120" s="2" t="s">
        <v>555</v>
      </c>
    </row>
    <row r="121">
      <c r="A121" s="2" t="s">
        <v>556</v>
      </c>
      <c r="B121" s="2" t="s">
        <v>557</v>
      </c>
      <c r="C121" s="2" t="s">
        <v>14</v>
      </c>
      <c r="D121" s="2" t="s">
        <v>15</v>
      </c>
      <c r="E121" s="2" t="s">
        <v>16</v>
      </c>
      <c r="F121" s="3">
        <f>+5491145308085</f>
        <v>5491145308085</v>
      </c>
      <c r="G121" s="2" t="s">
        <v>558</v>
      </c>
      <c r="H121" s="2" t="s">
        <v>32</v>
      </c>
      <c r="I121" s="2" t="s">
        <v>25</v>
      </c>
      <c r="J121" s="2" t="s">
        <v>559</v>
      </c>
      <c r="K121" s="4">
        <v>46106.0</v>
      </c>
      <c r="L121" s="2" t="s">
        <v>560</v>
      </c>
    </row>
    <row r="122">
      <c r="A122" s="2" t="s">
        <v>561</v>
      </c>
      <c r="B122" s="2" t="s">
        <v>562</v>
      </c>
      <c r="C122" s="2" t="s">
        <v>14</v>
      </c>
      <c r="D122" s="2" t="s">
        <v>15</v>
      </c>
      <c r="E122" s="2" t="s">
        <v>23</v>
      </c>
      <c r="F122" s="3">
        <f>+5493541624612</f>
        <v>5493541624612</v>
      </c>
      <c r="G122" s="2" t="s">
        <v>563</v>
      </c>
      <c r="H122" s="2" t="s">
        <v>18</v>
      </c>
      <c r="I122" s="2" t="s">
        <v>535</v>
      </c>
      <c r="J122" s="2" t="s">
        <v>564</v>
      </c>
      <c r="K122" s="4">
        <v>46106.0</v>
      </c>
      <c r="L122" s="2" t="s">
        <v>565</v>
      </c>
    </row>
    <row r="123">
      <c r="A123" s="2" t="s">
        <v>566</v>
      </c>
      <c r="B123" s="2" t="s">
        <v>567</v>
      </c>
      <c r="C123" s="2" t="s">
        <v>14</v>
      </c>
      <c r="D123" s="2" t="s">
        <v>15</v>
      </c>
      <c r="E123" s="2" t="s">
        <v>23</v>
      </c>
      <c r="F123" s="3">
        <f>+5491171201007</f>
        <v>5491171201007</v>
      </c>
      <c r="G123" s="2" t="s">
        <v>568</v>
      </c>
      <c r="H123" s="2" t="s">
        <v>25</v>
      </c>
      <c r="I123" s="2" t="s">
        <v>118</v>
      </c>
      <c r="J123" s="2" t="s">
        <v>124</v>
      </c>
      <c r="K123" s="4">
        <v>46106.0</v>
      </c>
      <c r="L123" s="2" t="s">
        <v>569</v>
      </c>
    </row>
    <row r="124">
      <c r="A124" s="2" t="s">
        <v>570</v>
      </c>
      <c r="B124" s="2" t="s">
        <v>571</v>
      </c>
      <c r="C124" s="2" t="s">
        <v>14</v>
      </c>
      <c r="D124" s="2" t="s">
        <v>15</v>
      </c>
      <c r="E124" s="2" t="s">
        <v>23</v>
      </c>
      <c r="F124" s="3">
        <f>+5491170994300</f>
        <v>5491170994300</v>
      </c>
      <c r="G124" s="2" t="s">
        <v>572</v>
      </c>
      <c r="H124" s="2" t="s">
        <v>25</v>
      </c>
      <c r="I124" s="2" t="s">
        <v>118</v>
      </c>
      <c r="J124" s="2" t="s">
        <v>119</v>
      </c>
      <c r="K124" s="4">
        <v>46106.0</v>
      </c>
      <c r="L124" s="2" t="s">
        <v>573</v>
      </c>
    </row>
    <row r="125">
      <c r="A125" s="2" t="s">
        <v>574</v>
      </c>
      <c r="B125" s="2" t="s">
        <v>575</v>
      </c>
      <c r="C125" s="2" t="s">
        <v>14</v>
      </c>
      <c r="D125" s="2" t="s">
        <v>15</v>
      </c>
      <c r="E125" s="2" t="s">
        <v>23</v>
      </c>
      <c r="F125" s="3">
        <f>+5493541279607</f>
        <v>5493541279607</v>
      </c>
      <c r="G125" s="2" t="s">
        <v>576</v>
      </c>
      <c r="H125" s="2" t="s">
        <v>18</v>
      </c>
      <c r="I125" s="2" t="s">
        <v>535</v>
      </c>
      <c r="J125" s="2" t="s">
        <v>564</v>
      </c>
      <c r="K125" s="4">
        <v>46104.0</v>
      </c>
      <c r="L125" s="2" t="s">
        <v>577</v>
      </c>
    </row>
    <row r="126">
      <c r="A126" s="2" t="s">
        <v>578</v>
      </c>
      <c r="B126" s="2" t="s">
        <v>579</v>
      </c>
      <c r="C126" s="2" t="s">
        <v>14</v>
      </c>
      <c r="D126" s="2" t="s">
        <v>15</v>
      </c>
      <c r="E126" s="2" t="s">
        <v>23</v>
      </c>
      <c r="F126" s="3">
        <f>+5491158684409</f>
        <v>5491158684409</v>
      </c>
      <c r="G126" s="2" t="s">
        <v>580</v>
      </c>
      <c r="H126" s="2" t="s">
        <v>25</v>
      </c>
      <c r="I126" s="2" t="s">
        <v>118</v>
      </c>
      <c r="J126" s="2" t="s">
        <v>134</v>
      </c>
      <c r="K126" s="4">
        <v>46104.0</v>
      </c>
      <c r="L126" s="2" t="s">
        <v>581</v>
      </c>
    </row>
    <row r="127">
      <c r="A127" s="2" t="s">
        <v>582</v>
      </c>
      <c r="B127" s="2" t="s">
        <v>583</v>
      </c>
      <c r="C127" s="2" t="s">
        <v>14</v>
      </c>
      <c r="D127" s="2" t="s">
        <v>15</v>
      </c>
      <c r="E127" s="2" t="s">
        <v>23</v>
      </c>
      <c r="F127" s="3">
        <f>+5491134690989</f>
        <v>5491134690989</v>
      </c>
      <c r="G127" s="2" t="s">
        <v>584</v>
      </c>
      <c r="H127" s="2" t="s">
        <v>25</v>
      </c>
      <c r="I127" s="2" t="s">
        <v>118</v>
      </c>
      <c r="J127" s="2" t="s">
        <v>118</v>
      </c>
      <c r="K127" s="4">
        <v>46102.0</v>
      </c>
      <c r="L127" s="2" t="s">
        <v>585</v>
      </c>
    </row>
    <row r="128">
      <c r="A128" s="2" t="s">
        <v>586</v>
      </c>
      <c r="B128" s="2" t="s">
        <v>587</v>
      </c>
      <c r="C128" s="2" t="s">
        <v>14</v>
      </c>
      <c r="D128" s="2" t="s">
        <v>15</v>
      </c>
      <c r="E128" s="2" t="s">
        <v>23</v>
      </c>
      <c r="F128" s="3">
        <f>+5493512352354</f>
        <v>5493512352354</v>
      </c>
      <c r="G128" s="2" t="s">
        <v>588</v>
      </c>
      <c r="H128" s="2" t="s">
        <v>18</v>
      </c>
      <c r="I128" s="2" t="s">
        <v>589</v>
      </c>
      <c r="J128" s="2" t="s">
        <v>589</v>
      </c>
      <c r="K128" s="4">
        <v>46101.0</v>
      </c>
      <c r="L128" s="2" t="s">
        <v>590</v>
      </c>
    </row>
    <row r="129">
      <c r="A129" s="2" t="s">
        <v>591</v>
      </c>
      <c r="B129" s="2" t="s">
        <v>592</v>
      </c>
      <c r="C129" s="2" t="s">
        <v>14</v>
      </c>
      <c r="D129" s="2" t="s">
        <v>15</v>
      </c>
      <c r="E129" s="2" t="s">
        <v>16</v>
      </c>
      <c r="F129" s="3">
        <f>+5492236030351</f>
        <v>5492236030351</v>
      </c>
      <c r="G129" s="2" t="s">
        <v>593</v>
      </c>
      <c r="H129" s="2" t="s">
        <v>32</v>
      </c>
      <c r="I129" s="2" t="s">
        <v>25</v>
      </c>
      <c r="J129" s="2" t="s">
        <v>594</v>
      </c>
      <c r="K129" s="4">
        <v>46101.0</v>
      </c>
      <c r="L129" s="2" t="s">
        <v>595</v>
      </c>
    </row>
    <row r="130">
      <c r="A130" s="2" t="s">
        <v>596</v>
      </c>
      <c r="B130" s="2" t="s">
        <v>597</v>
      </c>
      <c r="C130" s="2" t="s">
        <v>14</v>
      </c>
      <c r="D130" s="2" t="s">
        <v>15</v>
      </c>
      <c r="E130" s="2" t="s">
        <v>23</v>
      </c>
      <c r="F130" s="3">
        <f>+5491130049559</f>
        <v>5491130049559</v>
      </c>
      <c r="G130" s="2" t="s">
        <v>598</v>
      </c>
      <c r="H130" s="2" t="s">
        <v>25</v>
      </c>
      <c r="I130" s="2" t="s">
        <v>357</v>
      </c>
      <c r="J130" s="2" t="s">
        <v>358</v>
      </c>
      <c r="K130" s="4">
        <v>46101.0</v>
      </c>
      <c r="L130" s="2" t="s">
        <v>599</v>
      </c>
    </row>
    <row r="131">
      <c r="A131" s="2" t="s">
        <v>600</v>
      </c>
      <c r="B131" s="2" t="s">
        <v>601</v>
      </c>
      <c r="C131" s="2" t="s">
        <v>14</v>
      </c>
      <c r="D131" s="2" t="s">
        <v>15</v>
      </c>
      <c r="E131" s="2" t="s">
        <v>23</v>
      </c>
      <c r="F131" s="3">
        <f>+5493816584812</f>
        <v>5493816584812</v>
      </c>
      <c r="G131" s="2" t="s">
        <v>602</v>
      </c>
      <c r="H131" s="2" t="s">
        <v>55</v>
      </c>
      <c r="I131" s="2" t="s">
        <v>56</v>
      </c>
      <c r="J131" s="2" t="s">
        <v>56</v>
      </c>
      <c r="K131" s="4">
        <v>46100.0</v>
      </c>
      <c r="L131" s="2" t="s">
        <v>603</v>
      </c>
    </row>
    <row r="132">
      <c r="A132" s="2" t="s">
        <v>604</v>
      </c>
      <c r="B132" s="2" t="s">
        <v>605</v>
      </c>
      <c r="C132" s="2" t="s">
        <v>14</v>
      </c>
      <c r="D132" s="2" t="s">
        <v>15</v>
      </c>
      <c r="E132" s="2" t="s">
        <v>23</v>
      </c>
      <c r="F132" s="3">
        <f>+5491162121087</f>
        <v>5491162121087</v>
      </c>
      <c r="G132" s="2" t="s">
        <v>606</v>
      </c>
      <c r="H132" s="2" t="s">
        <v>25</v>
      </c>
      <c r="I132" s="2" t="s">
        <v>118</v>
      </c>
      <c r="J132" s="2" t="s">
        <v>198</v>
      </c>
      <c r="K132" s="4">
        <v>46100.0</v>
      </c>
      <c r="L132" s="2" t="s">
        <v>607</v>
      </c>
    </row>
    <row r="133">
      <c r="A133" s="2" t="s">
        <v>608</v>
      </c>
      <c r="B133" s="2" t="s">
        <v>609</v>
      </c>
      <c r="C133" s="2" t="s">
        <v>14</v>
      </c>
      <c r="D133" s="2" t="s">
        <v>15</v>
      </c>
      <c r="E133" s="2" t="s">
        <v>16</v>
      </c>
      <c r="F133" s="3">
        <f>+5492302443251</f>
        <v>5492302443251</v>
      </c>
      <c r="G133" s="2" t="s">
        <v>610</v>
      </c>
      <c r="H133" s="2" t="s">
        <v>32</v>
      </c>
      <c r="I133" s="2" t="s">
        <v>25</v>
      </c>
      <c r="J133" s="2" t="s">
        <v>611</v>
      </c>
      <c r="K133" s="4">
        <v>46099.0</v>
      </c>
      <c r="L133" s="2" t="s">
        <v>612</v>
      </c>
    </row>
    <row r="134">
      <c r="A134" s="2" t="s">
        <v>613</v>
      </c>
      <c r="B134" s="2" t="s">
        <v>614</v>
      </c>
      <c r="C134" s="2" t="s">
        <v>493</v>
      </c>
      <c r="D134" s="2" t="s">
        <v>15</v>
      </c>
      <c r="E134" s="2" t="s">
        <v>16</v>
      </c>
      <c r="F134" s="3">
        <f>+5491137601303</f>
        <v>5491137601303</v>
      </c>
      <c r="G134" s="2" t="s">
        <v>615</v>
      </c>
      <c r="H134" s="2" t="s">
        <v>25</v>
      </c>
      <c r="I134" s="2" t="s">
        <v>118</v>
      </c>
      <c r="J134" s="2" t="s">
        <v>124</v>
      </c>
      <c r="K134" s="4">
        <v>46098.0</v>
      </c>
      <c r="L134" s="2" t="s">
        <v>616</v>
      </c>
    </row>
    <row r="135">
      <c r="A135" s="2" t="s">
        <v>617</v>
      </c>
      <c r="B135" s="2" t="s">
        <v>618</v>
      </c>
      <c r="C135" s="2" t="s">
        <v>14</v>
      </c>
      <c r="D135" s="2" t="s">
        <v>15</v>
      </c>
      <c r="E135" s="2" t="s">
        <v>16</v>
      </c>
      <c r="F135" s="3">
        <f>+5491149702517</f>
        <v>5491149702517</v>
      </c>
      <c r="G135" s="2" t="s">
        <v>372</v>
      </c>
      <c r="H135" s="2" t="s">
        <v>32</v>
      </c>
      <c r="I135" s="2" t="s">
        <v>25</v>
      </c>
      <c r="J135" s="2" t="s">
        <v>373</v>
      </c>
      <c r="K135" s="4">
        <v>46098.0</v>
      </c>
      <c r="L135" s="2" t="s">
        <v>377</v>
      </c>
    </row>
    <row r="136">
      <c r="A136" s="2" t="s">
        <v>619</v>
      </c>
      <c r="B136" s="2" t="s">
        <v>620</v>
      </c>
      <c r="C136" s="2" t="s">
        <v>14</v>
      </c>
      <c r="D136" s="2" t="s">
        <v>15</v>
      </c>
      <c r="E136" s="2" t="s">
        <v>23</v>
      </c>
      <c r="F136" s="3">
        <f>+54903541398520</f>
        <v>54903541398520</v>
      </c>
      <c r="G136" s="2" t="s">
        <v>621</v>
      </c>
      <c r="H136" s="2" t="s">
        <v>18</v>
      </c>
      <c r="I136" s="2" t="s">
        <v>535</v>
      </c>
      <c r="J136" s="2" t="s">
        <v>564</v>
      </c>
      <c r="K136" s="4">
        <v>46098.0</v>
      </c>
      <c r="L136" s="2" t="s">
        <v>622</v>
      </c>
    </row>
    <row r="137">
      <c r="A137" s="2" t="s">
        <v>623</v>
      </c>
      <c r="B137" s="2" t="s">
        <v>624</v>
      </c>
      <c r="C137" s="2" t="s">
        <v>14</v>
      </c>
      <c r="D137" s="2" t="s">
        <v>15</v>
      </c>
      <c r="E137" s="2" t="s">
        <v>23</v>
      </c>
      <c r="F137" s="3">
        <f>+5491136890296</f>
        <v>5491136890296</v>
      </c>
      <c r="G137" s="2" t="s">
        <v>625</v>
      </c>
      <c r="H137" s="2" t="s">
        <v>25</v>
      </c>
      <c r="I137" s="2" t="s">
        <v>118</v>
      </c>
      <c r="J137" s="2" t="s">
        <v>124</v>
      </c>
      <c r="K137" s="4">
        <v>46097.0</v>
      </c>
      <c r="L137" s="2" t="s">
        <v>626</v>
      </c>
    </row>
    <row r="138">
      <c r="A138" s="2" t="s">
        <v>627</v>
      </c>
      <c r="B138" s="2" t="s">
        <v>628</v>
      </c>
      <c r="C138" s="2" t="s">
        <v>14</v>
      </c>
      <c r="D138" s="2" t="s">
        <v>15</v>
      </c>
      <c r="E138" s="2" t="s">
        <v>23</v>
      </c>
      <c r="F138" s="3">
        <f>+5493541580381</f>
        <v>5493541580381</v>
      </c>
      <c r="G138" s="2" t="s">
        <v>629</v>
      </c>
      <c r="H138" s="2" t="s">
        <v>18</v>
      </c>
      <c r="I138" s="2" t="s">
        <v>535</v>
      </c>
      <c r="J138" s="2" t="s">
        <v>630</v>
      </c>
      <c r="K138" s="4">
        <v>46094.0</v>
      </c>
      <c r="L138" s="2" t="s">
        <v>631</v>
      </c>
    </row>
    <row r="139">
      <c r="A139" s="2" t="s">
        <v>632</v>
      </c>
      <c r="B139" s="2" t="s">
        <v>633</v>
      </c>
      <c r="C139" s="2" t="s">
        <v>14</v>
      </c>
      <c r="D139" s="2" t="s">
        <v>15</v>
      </c>
      <c r="E139" s="2" t="s">
        <v>23</v>
      </c>
      <c r="F139" s="3">
        <f>+5493517712824</f>
        <v>5493517712824</v>
      </c>
      <c r="G139" s="2" t="s">
        <v>634</v>
      </c>
      <c r="H139" s="2" t="s">
        <v>18</v>
      </c>
      <c r="I139" s="2" t="s">
        <v>535</v>
      </c>
      <c r="J139" s="2" t="s">
        <v>635</v>
      </c>
      <c r="K139" s="4">
        <v>46093.0</v>
      </c>
      <c r="L139" s="2" t="s">
        <v>636</v>
      </c>
    </row>
    <row r="140">
      <c r="A140" s="2" t="s">
        <v>637</v>
      </c>
      <c r="B140" s="2" t="s">
        <v>638</v>
      </c>
      <c r="C140" s="2" t="s">
        <v>14</v>
      </c>
      <c r="D140" s="2" t="s">
        <v>15</v>
      </c>
      <c r="E140" s="2" t="s">
        <v>23</v>
      </c>
      <c r="F140" s="3">
        <f>+5491140633228</f>
        <v>5491140633228</v>
      </c>
      <c r="G140" s="2" t="s">
        <v>639</v>
      </c>
      <c r="H140" s="2" t="s">
        <v>25</v>
      </c>
      <c r="I140" s="2" t="s">
        <v>118</v>
      </c>
      <c r="J140" s="2" t="s">
        <v>640</v>
      </c>
      <c r="K140" s="4">
        <v>46093.0</v>
      </c>
      <c r="L140" s="2" t="s">
        <v>641</v>
      </c>
    </row>
    <row r="141">
      <c r="A141" s="2" t="s">
        <v>642</v>
      </c>
      <c r="B141" s="2" t="s">
        <v>643</v>
      </c>
      <c r="C141" s="2" t="s">
        <v>14</v>
      </c>
      <c r="D141" s="2" t="s">
        <v>15</v>
      </c>
      <c r="E141" s="2" t="s">
        <v>16</v>
      </c>
      <c r="F141" s="3">
        <f>+5491138116653</f>
        <v>5491138116653</v>
      </c>
      <c r="G141" s="2" t="s">
        <v>644</v>
      </c>
      <c r="H141" s="2" t="s">
        <v>32</v>
      </c>
      <c r="I141" s="2" t="s">
        <v>25</v>
      </c>
      <c r="J141" s="2" t="s">
        <v>33</v>
      </c>
      <c r="K141" s="4">
        <v>46092.0</v>
      </c>
      <c r="L141" s="2" t="s">
        <v>645</v>
      </c>
    </row>
    <row r="142">
      <c r="A142" s="2" t="s">
        <v>646</v>
      </c>
      <c r="B142" s="2" t="s">
        <v>647</v>
      </c>
      <c r="C142" s="2" t="s">
        <v>14</v>
      </c>
      <c r="D142" s="2" t="s">
        <v>15</v>
      </c>
      <c r="E142" s="2" t="s">
        <v>16</v>
      </c>
      <c r="F142" s="3">
        <f>+5492235656101</f>
        <v>5492235656101</v>
      </c>
      <c r="G142" s="2" t="s">
        <v>648</v>
      </c>
      <c r="H142" s="2" t="s">
        <v>25</v>
      </c>
      <c r="I142" s="2" t="s">
        <v>649</v>
      </c>
      <c r="J142" s="2" t="s">
        <v>650</v>
      </c>
      <c r="K142" s="4">
        <v>46092.0</v>
      </c>
      <c r="L142" s="2" t="s">
        <v>651</v>
      </c>
    </row>
    <row r="143">
      <c r="A143" s="2" t="s">
        <v>652</v>
      </c>
      <c r="B143" s="2" t="s">
        <v>653</v>
      </c>
      <c r="C143" s="2" t="s">
        <v>14</v>
      </c>
      <c r="D143" s="2" t="s">
        <v>15</v>
      </c>
      <c r="E143" s="2" t="s">
        <v>23</v>
      </c>
      <c r="F143" s="3">
        <f>+5491123885905</f>
        <v>5491123885905</v>
      </c>
      <c r="G143" s="2" t="s">
        <v>654</v>
      </c>
      <c r="H143" s="2" t="s">
        <v>25</v>
      </c>
      <c r="I143" s="2" t="s">
        <v>118</v>
      </c>
      <c r="J143" s="2" t="s">
        <v>119</v>
      </c>
      <c r="K143" s="4">
        <v>46092.0</v>
      </c>
      <c r="L143" s="2" t="s">
        <v>655</v>
      </c>
    </row>
    <row r="144">
      <c r="A144" s="2" t="s">
        <v>656</v>
      </c>
      <c r="B144" s="2" t="s">
        <v>657</v>
      </c>
      <c r="C144" s="2" t="s">
        <v>14</v>
      </c>
      <c r="D144" s="2" t="s">
        <v>15</v>
      </c>
      <c r="E144" s="2" t="s">
        <v>16</v>
      </c>
      <c r="F144" s="3">
        <f>+5492235656101</f>
        <v>5492235656101</v>
      </c>
      <c r="G144" s="2" t="s">
        <v>658</v>
      </c>
      <c r="H144" s="2" t="s">
        <v>25</v>
      </c>
      <c r="I144" s="2" t="s">
        <v>649</v>
      </c>
      <c r="J144" s="2" t="s">
        <v>659</v>
      </c>
      <c r="K144" s="4">
        <v>46092.0</v>
      </c>
      <c r="L144" s="2" t="s">
        <v>660</v>
      </c>
    </row>
    <row r="145">
      <c r="A145" s="2" t="s">
        <v>661</v>
      </c>
      <c r="B145" s="2" t="s">
        <v>662</v>
      </c>
      <c r="C145" s="2" t="s">
        <v>14</v>
      </c>
      <c r="D145" s="2" t="s">
        <v>15</v>
      </c>
      <c r="E145" s="2" t="s">
        <v>16</v>
      </c>
      <c r="F145" s="3">
        <f>+5491138116251</f>
        <v>5491138116251</v>
      </c>
      <c r="G145" s="2" t="s">
        <v>663</v>
      </c>
      <c r="H145" s="2" t="s">
        <v>32</v>
      </c>
      <c r="I145" s="2" t="s">
        <v>25</v>
      </c>
      <c r="J145" s="2" t="s">
        <v>594</v>
      </c>
      <c r="K145" s="4">
        <v>46092.0</v>
      </c>
      <c r="L145" s="2" t="s">
        <v>664</v>
      </c>
    </row>
    <row r="146">
      <c r="A146" s="2" t="s">
        <v>665</v>
      </c>
      <c r="B146" s="2" t="s">
        <v>666</v>
      </c>
      <c r="C146" s="2" t="s">
        <v>14</v>
      </c>
      <c r="D146" s="2" t="s">
        <v>15</v>
      </c>
      <c r="E146" s="2" t="s">
        <v>16</v>
      </c>
      <c r="F146" s="3">
        <f>+5493541753976</f>
        <v>5493541753976</v>
      </c>
      <c r="G146" s="2" t="s">
        <v>667</v>
      </c>
      <c r="H146" s="2" t="s">
        <v>18</v>
      </c>
      <c r="I146" s="2" t="s">
        <v>535</v>
      </c>
      <c r="J146" s="2" t="s">
        <v>541</v>
      </c>
      <c r="K146" s="4">
        <v>46092.0</v>
      </c>
      <c r="L146" s="2" t="s">
        <v>668</v>
      </c>
    </row>
    <row r="147">
      <c r="A147" s="2" t="s">
        <v>669</v>
      </c>
      <c r="B147" s="2" t="s">
        <v>670</v>
      </c>
      <c r="C147" s="2" t="s">
        <v>185</v>
      </c>
      <c r="D147" s="2" t="s">
        <v>15</v>
      </c>
      <c r="E147" s="2" t="s">
        <v>16</v>
      </c>
      <c r="F147" s="3">
        <f>+5491169913135</f>
        <v>5491169913135</v>
      </c>
      <c r="G147" s="2" t="s">
        <v>671</v>
      </c>
      <c r="H147" s="2" t="s">
        <v>32</v>
      </c>
      <c r="I147" s="2" t="s">
        <v>25</v>
      </c>
      <c r="J147" s="2" t="s">
        <v>143</v>
      </c>
      <c r="K147" s="4">
        <v>46091.0</v>
      </c>
      <c r="L147" s="2" t="s">
        <v>672</v>
      </c>
    </row>
    <row r="148">
      <c r="A148" s="2" t="s">
        <v>673</v>
      </c>
      <c r="B148" s="2" t="s">
        <v>674</v>
      </c>
      <c r="C148" s="2" t="s">
        <v>14</v>
      </c>
      <c r="D148" s="2" t="s">
        <v>15</v>
      </c>
      <c r="E148" s="2" t="s">
        <v>23</v>
      </c>
      <c r="F148" s="3">
        <f>+5491160780158</f>
        <v>5491160780158</v>
      </c>
      <c r="G148" s="2" t="s">
        <v>675</v>
      </c>
      <c r="H148" s="2" t="s">
        <v>25</v>
      </c>
      <c r="I148" s="2" t="s">
        <v>118</v>
      </c>
      <c r="J148" s="2" t="s">
        <v>118</v>
      </c>
      <c r="K148" s="4">
        <v>46091.0</v>
      </c>
      <c r="L148" s="2" t="s">
        <v>676</v>
      </c>
    </row>
    <row r="149">
      <c r="A149" s="2" t="s">
        <v>677</v>
      </c>
      <c r="B149" s="2" t="s">
        <v>678</v>
      </c>
      <c r="C149" s="2" t="s">
        <v>14</v>
      </c>
      <c r="D149" s="2" t="s">
        <v>15</v>
      </c>
      <c r="E149" s="2" t="s">
        <v>23</v>
      </c>
      <c r="F149" s="3">
        <f>+5491165615248</f>
        <v>5491165615248</v>
      </c>
      <c r="G149" s="2" t="s">
        <v>679</v>
      </c>
      <c r="H149" s="2" t="s">
        <v>25</v>
      </c>
      <c r="I149" s="2" t="s">
        <v>118</v>
      </c>
      <c r="J149" s="2" t="s">
        <v>134</v>
      </c>
      <c r="K149" s="4">
        <v>46088.0</v>
      </c>
      <c r="L149" s="2" t="s">
        <v>680</v>
      </c>
    </row>
    <row r="150">
      <c r="A150" s="2" t="s">
        <v>681</v>
      </c>
      <c r="B150" s="2" t="s">
        <v>682</v>
      </c>
      <c r="C150" s="2" t="s">
        <v>14</v>
      </c>
      <c r="D150" s="2" t="s">
        <v>15</v>
      </c>
      <c r="E150" s="2" t="s">
        <v>23</v>
      </c>
      <c r="F150" s="3">
        <f>+5491156434719</f>
        <v>5491156434719</v>
      </c>
      <c r="G150" s="2" t="s">
        <v>683</v>
      </c>
      <c r="H150" s="2" t="s">
        <v>25</v>
      </c>
      <c r="I150" s="2" t="s">
        <v>118</v>
      </c>
      <c r="J150" s="2" t="s">
        <v>124</v>
      </c>
      <c r="K150" s="4">
        <v>46086.0</v>
      </c>
      <c r="L150" s="2" t="s">
        <v>684</v>
      </c>
    </row>
    <row r="151">
      <c r="A151" s="2" t="s">
        <v>685</v>
      </c>
      <c r="B151" s="2" t="s">
        <v>686</v>
      </c>
      <c r="C151" s="2" t="s">
        <v>14</v>
      </c>
      <c r="D151" s="2" t="s">
        <v>15</v>
      </c>
      <c r="E151" s="2" t="s">
        <v>16</v>
      </c>
      <c r="F151" s="3">
        <f>+5491135936146</f>
        <v>5491135936146</v>
      </c>
      <c r="G151" s="2" t="s">
        <v>687</v>
      </c>
      <c r="H151" s="2" t="s">
        <v>25</v>
      </c>
      <c r="I151" s="2" t="s">
        <v>550</v>
      </c>
      <c r="J151" s="2" t="s">
        <v>688</v>
      </c>
      <c r="K151" s="4">
        <v>46086.0</v>
      </c>
      <c r="L151" s="2" t="s">
        <v>689</v>
      </c>
    </row>
    <row r="152">
      <c r="A152" s="2" t="s">
        <v>690</v>
      </c>
      <c r="B152" s="2" t="s">
        <v>691</v>
      </c>
      <c r="C152" s="2" t="s">
        <v>14</v>
      </c>
      <c r="D152" s="2" t="s">
        <v>15</v>
      </c>
      <c r="E152" s="2" t="s">
        <v>23</v>
      </c>
      <c r="F152" s="3">
        <f>+5493541217325</f>
        <v>5493541217325</v>
      </c>
      <c r="G152" s="2" t="s">
        <v>692</v>
      </c>
      <c r="H152" s="2" t="s">
        <v>18</v>
      </c>
      <c r="I152" s="2" t="s">
        <v>535</v>
      </c>
      <c r="J152" s="2" t="s">
        <v>541</v>
      </c>
      <c r="K152" s="4">
        <v>46086.0</v>
      </c>
      <c r="L152" s="2" t="s">
        <v>693</v>
      </c>
    </row>
    <row r="153">
      <c r="A153" s="2" t="s">
        <v>694</v>
      </c>
      <c r="B153" s="2" t="s">
        <v>695</v>
      </c>
      <c r="C153" s="2" t="s">
        <v>14</v>
      </c>
      <c r="D153" s="2" t="s">
        <v>15</v>
      </c>
      <c r="E153" s="2" t="s">
        <v>23</v>
      </c>
      <c r="F153" s="3">
        <f>+541121997202</f>
        <v>541121997202</v>
      </c>
      <c r="G153" s="2" t="s">
        <v>696</v>
      </c>
      <c r="H153" s="2" t="s">
        <v>25</v>
      </c>
      <c r="I153" s="2" t="s">
        <v>97</v>
      </c>
      <c r="J153" s="2" t="s">
        <v>697</v>
      </c>
      <c r="K153" s="4">
        <v>43703.0</v>
      </c>
      <c r="L153" s="2" t="s">
        <v>698</v>
      </c>
    </row>
    <row r="154">
      <c r="A154" s="2" t="s">
        <v>699</v>
      </c>
      <c r="B154" s="2" t="s">
        <v>700</v>
      </c>
      <c r="C154" s="2" t="s">
        <v>14</v>
      </c>
      <c r="D154" s="2" t="s">
        <v>15</v>
      </c>
      <c r="E154" s="2" t="s">
        <v>23</v>
      </c>
      <c r="F154" s="3">
        <f>+54901161570631</f>
        <v>54901161570631</v>
      </c>
      <c r="G154" s="2" t="s">
        <v>701</v>
      </c>
      <c r="H154" s="2" t="s">
        <v>32</v>
      </c>
      <c r="I154" s="2" t="s">
        <v>25</v>
      </c>
      <c r="J154" s="2" t="s">
        <v>702</v>
      </c>
      <c r="K154" s="4">
        <v>46147.0</v>
      </c>
      <c r="L154" s="2" t="s">
        <v>703</v>
      </c>
    </row>
    <row r="155">
      <c r="A155" s="2" t="s">
        <v>704</v>
      </c>
      <c r="B155" s="2" t="s">
        <v>705</v>
      </c>
      <c r="C155" s="2" t="s">
        <v>14</v>
      </c>
      <c r="D155" s="2" t="s">
        <v>15</v>
      </c>
      <c r="E155" s="2" t="s">
        <v>23</v>
      </c>
      <c r="F155" s="3">
        <f>+5491126532262</f>
        <v>5491126532262</v>
      </c>
      <c r="G155" s="2" t="s">
        <v>706</v>
      </c>
      <c r="H155" s="2" t="s">
        <v>32</v>
      </c>
      <c r="I155" s="2" t="s">
        <v>25</v>
      </c>
      <c r="J155" s="2" t="s">
        <v>707</v>
      </c>
      <c r="K155" s="4">
        <v>46147.0</v>
      </c>
      <c r="L155" s="2" t="s">
        <v>708</v>
      </c>
    </row>
    <row r="156">
      <c r="A156" s="2" t="s">
        <v>709</v>
      </c>
      <c r="B156" s="2" t="s">
        <v>710</v>
      </c>
      <c r="C156" s="2" t="s">
        <v>14</v>
      </c>
      <c r="D156" s="2" t="s">
        <v>15</v>
      </c>
      <c r="E156" s="2" t="s">
        <v>23</v>
      </c>
      <c r="F156" s="3">
        <f>+549544582166</f>
        <v>549544582166</v>
      </c>
      <c r="G156" s="2" t="s">
        <v>711</v>
      </c>
      <c r="H156" s="2" t="s">
        <v>18</v>
      </c>
      <c r="I156" s="2" t="s">
        <v>18</v>
      </c>
      <c r="J156" s="2" t="s">
        <v>712</v>
      </c>
      <c r="K156" s="4">
        <v>46146.0</v>
      </c>
      <c r="L156" s="2" t="s">
        <v>713</v>
      </c>
    </row>
    <row r="157">
      <c r="A157" s="2" t="s">
        <v>714</v>
      </c>
      <c r="B157" s="2" t="s">
        <v>715</v>
      </c>
      <c r="C157" s="2" t="s">
        <v>14</v>
      </c>
      <c r="D157" s="2" t="s">
        <v>15</v>
      </c>
      <c r="E157" s="2" t="s">
        <v>23</v>
      </c>
      <c r="F157" s="3">
        <f>+5493416835335</f>
        <v>5493416835335</v>
      </c>
      <c r="G157" s="2" t="s">
        <v>716</v>
      </c>
      <c r="H157" s="2" t="s">
        <v>65</v>
      </c>
      <c r="I157" s="2" t="s">
        <v>218</v>
      </c>
      <c r="J157" s="2" t="s">
        <v>219</v>
      </c>
      <c r="K157" s="4">
        <v>46146.0</v>
      </c>
      <c r="L157" s="2" t="s">
        <v>717</v>
      </c>
    </row>
    <row r="158">
      <c r="A158" s="2" t="s">
        <v>718</v>
      </c>
      <c r="B158" s="2" t="s">
        <v>719</v>
      </c>
      <c r="C158" s="2" t="s">
        <v>185</v>
      </c>
      <c r="D158" s="2" t="s">
        <v>15</v>
      </c>
      <c r="E158" s="2" t="s">
        <v>16</v>
      </c>
      <c r="F158" s="3">
        <f>+5491111111111</f>
        <v>5491111111111</v>
      </c>
      <c r="G158" s="2" t="s">
        <v>720</v>
      </c>
      <c r="H158" s="2" t="s">
        <v>32</v>
      </c>
      <c r="I158" s="2" t="s">
        <v>25</v>
      </c>
      <c r="J158" s="2" t="s">
        <v>213</v>
      </c>
      <c r="K158" s="4">
        <v>46146.0</v>
      </c>
      <c r="L158" s="2" t="s">
        <v>721</v>
      </c>
    </row>
    <row r="159">
      <c r="A159" s="2" t="s">
        <v>722</v>
      </c>
      <c r="B159" s="2" t="s">
        <v>723</v>
      </c>
      <c r="C159" s="2" t="s">
        <v>14</v>
      </c>
      <c r="D159" s="2" t="s">
        <v>15</v>
      </c>
      <c r="E159" s="2" t="s">
        <v>23</v>
      </c>
      <c r="F159" s="3">
        <f>+5493875227701</f>
        <v>5493875227701</v>
      </c>
      <c r="G159" s="2" t="s">
        <v>724</v>
      </c>
      <c r="H159" s="2" t="s">
        <v>725</v>
      </c>
      <c r="I159" s="2" t="s">
        <v>725</v>
      </c>
      <c r="J159" s="2" t="s">
        <v>219</v>
      </c>
      <c r="K159" s="4">
        <v>46146.0</v>
      </c>
      <c r="L159" s="2" t="s">
        <v>726</v>
      </c>
    </row>
    <row r="160">
      <c r="A160" s="2" t="s">
        <v>727</v>
      </c>
      <c r="B160" s="2" t="s">
        <v>728</v>
      </c>
      <c r="C160" s="2" t="s">
        <v>14</v>
      </c>
      <c r="D160" s="2" t="s">
        <v>15</v>
      </c>
      <c r="E160" s="2" t="s">
        <v>23</v>
      </c>
      <c r="F160" s="3">
        <f>+5491151355167</f>
        <v>5491151355167</v>
      </c>
      <c r="G160" s="2" t="s">
        <v>729</v>
      </c>
      <c r="H160" s="2" t="s">
        <v>32</v>
      </c>
      <c r="I160" s="2" t="s">
        <v>25</v>
      </c>
      <c r="J160" s="2" t="s">
        <v>373</v>
      </c>
      <c r="K160" s="4">
        <v>46146.0</v>
      </c>
      <c r="L160" s="2" t="s">
        <v>730</v>
      </c>
    </row>
    <row r="161">
      <c r="A161" s="2" t="s">
        <v>731</v>
      </c>
      <c r="B161" s="2" t="s">
        <v>732</v>
      </c>
      <c r="C161" s="2" t="s">
        <v>14</v>
      </c>
      <c r="D161" s="2" t="s">
        <v>15</v>
      </c>
      <c r="E161" s="2" t="s">
        <v>23</v>
      </c>
      <c r="F161" s="3">
        <f>+5491130832578</f>
        <v>5491130832578</v>
      </c>
      <c r="G161" s="2" t="s">
        <v>733</v>
      </c>
      <c r="H161" s="2" t="s">
        <v>32</v>
      </c>
      <c r="I161" s="2" t="s">
        <v>25</v>
      </c>
      <c r="J161" s="2" t="s">
        <v>734</v>
      </c>
      <c r="K161" s="4">
        <v>46146.0</v>
      </c>
      <c r="L161" s="2" t="s">
        <v>735</v>
      </c>
    </row>
    <row r="162">
      <c r="A162" s="2" t="s">
        <v>736</v>
      </c>
      <c r="B162" s="2" t="s">
        <v>737</v>
      </c>
      <c r="C162" s="2" t="s">
        <v>14</v>
      </c>
      <c r="D162" s="2" t="s">
        <v>15</v>
      </c>
      <c r="E162" s="2" t="s">
        <v>23</v>
      </c>
      <c r="F162" s="3">
        <f>+5493875543356</f>
        <v>5493875543356</v>
      </c>
      <c r="G162" s="2" t="s">
        <v>738</v>
      </c>
      <c r="H162" s="2" t="s">
        <v>725</v>
      </c>
      <c r="I162" s="2" t="s">
        <v>725</v>
      </c>
      <c r="J162" s="2" t="s">
        <v>739</v>
      </c>
      <c r="K162" s="4">
        <v>46146.0</v>
      </c>
      <c r="L162" s="2" t="s">
        <v>740</v>
      </c>
    </row>
    <row r="163">
      <c r="A163" s="2" t="s">
        <v>741</v>
      </c>
      <c r="B163" s="2" t="s">
        <v>742</v>
      </c>
      <c r="C163" s="2" t="s">
        <v>14</v>
      </c>
      <c r="D163" s="2" t="s">
        <v>15</v>
      </c>
      <c r="E163" s="2" t="s">
        <v>23</v>
      </c>
      <c r="F163" s="3">
        <f>+5491134348963</f>
        <v>5491134348963</v>
      </c>
      <c r="G163" s="2" t="s">
        <v>743</v>
      </c>
      <c r="H163" s="2" t="s">
        <v>25</v>
      </c>
      <c r="I163" s="2" t="s">
        <v>84</v>
      </c>
      <c r="J163" s="2" t="s">
        <v>744</v>
      </c>
      <c r="K163" s="4">
        <v>46146.0</v>
      </c>
      <c r="L163" s="2" t="s">
        <v>745</v>
      </c>
    </row>
    <row r="164">
      <c r="A164" s="2" t="s">
        <v>746</v>
      </c>
      <c r="B164" s="2" t="s">
        <v>747</v>
      </c>
      <c r="C164" s="2" t="s">
        <v>14</v>
      </c>
      <c r="D164" s="2" t="s">
        <v>15</v>
      </c>
      <c r="E164" s="2" t="s">
        <v>23</v>
      </c>
      <c r="F164" s="3">
        <f>+5492233053331</f>
        <v>5492233053331</v>
      </c>
      <c r="G164" s="2" t="s">
        <v>748</v>
      </c>
      <c r="H164" s="2" t="s">
        <v>25</v>
      </c>
      <c r="I164" s="2" t="s">
        <v>649</v>
      </c>
      <c r="J164" s="2" t="s">
        <v>749</v>
      </c>
      <c r="K164" s="4">
        <v>46146.0</v>
      </c>
      <c r="L164" s="2" t="s">
        <v>750</v>
      </c>
    </row>
    <row r="165">
      <c r="A165" s="2" t="s">
        <v>751</v>
      </c>
      <c r="B165" s="2" t="s">
        <v>752</v>
      </c>
      <c r="C165" s="2" t="s">
        <v>185</v>
      </c>
      <c r="D165" s="2" t="s">
        <v>15</v>
      </c>
      <c r="E165" s="2" t="s">
        <v>16</v>
      </c>
      <c r="F165" s="3">
        <f>+5491111111111</f>
        <v>5491111111111</v>
      </c>
      <c r="G165" s="2" t="s">
        <v>753</v>
      </c>
      <c r="H165" s="2" t="s">
        <v>25</v>
      </c>
      <c r="I165" s="2" t="s">
        <v>486</v>
      </c>
      <c r="J165" s="2" t="s">
        <v>754</v>
      </c>
      <c r="K165" s="4">
        <v>46146.0</v>
      </c>
      <c r="L165" s="2" t="s">
        <v>755</v>
      </c>
    </row>
    <row r="166">
      <c r="A166" s="2" t="s">
        <v>756</v>
      </c>
      <c r="B166" s="2" t="s">
        <v>757</v>
      </c>
      <c r="C166" s="2" t="s">
        <v>14</v>
      </c>
      <c r="D166" s="2" t="s">
        <v>15</v>
      </c>
      <c r="E166" s="2" t="s">
        <v>23</v>
      </c>
      <c r="F166" s="3">
        <f>+5491138801265</f>
        <v>5491138801265</v>
      </c>
      <c r="G166" s="2" t="s">
        <v>758</v>
      </c>
      <c r="H166" s="2" t="s">
        <v>32</v>
      </c>
      <c r="I166" s="2" t="s">
        <v>25</v>
      </c>
      <c r="J166" s="2" t="s">
        <v>759</v>
      </c>
      <c r="K166" s="4">
        <v>46146.0</v>
      </c>
      <c r="L166" s="2" t="s">
        <v>760</v>
      </c>
    </row>
    <row r="167">
      <c r="A167" s="2" t="s">
        <v>761</v>
      </c>
      <c r="B167" s="2" t="s">
        <v>762</v>
      </c>
      <c r="C167" s="2" t="s">
        <v>14</v>
      </c>
      <c r="D167" s="2" t="s">
        <v>15</v>
      </c>
      <c r="E167" s="2" t="s">
        <v>23</v>
      </c>
      <c r="F167" s="3">
        <f>+5491125301039</f>
        <v>5491125301039</v>
      </c>
      <c r="G167" s="2" t="s">
        <v>763</v>
      </c>
      <c r="H167" s="2" t="s">
        <v>25</v>
      </c>
      <c r="I167" s="2" t="s">
        <v>764</v>
      </c>
      <c r="J167" s="2" t="s">
        <v>765</v>
      </c>
      <c r="K167" s="4">
        <v>46146.0</v>
      </c>
      <c r="L167" s="2" t="s">
        <v>766</v>
      </c>
    </row>
    <row r="168">
      <c r="A168" s="2" t="s">
        <v>767</v>
      </c>
      <c r="B168" s="2" t="s">
        <v>768</v>
      </c>
      <c r="C168" s="2" t="s">
        <v>14</v>
      </c>
      <c r="D168" s="2" t="s">
        <v>15</v>
      </c>
      <c r="E168" s="2" t="s">
        <v>23</v>
      </c>
      <c r="F168" s="3">
        <f>+5491170454836</f>
        <v>5491170454836</v>
      </c>
      <c r="G168" s="2" t="s">
        <v>769</v>
      </c>
      <c r="H168" s="2" t="s">
        <v>25</v>
      </c>
      <c r="I168" s="2" t="s">
        <v>764</v>
      </c>
      <c r="J168" s="2" t="s">
        <v>764</v>
      </c>
      <c r="K168" s="4">
        <v>46146.0</v>
      </c>
      <c r="L168" s="2" t="s">
        <v>770</v>
      </c>
    </row>
    <row r="169">
      <c r="A169" s="2" t="s">
        <v>771</v>
      </c>
      <c r="B169" s="2" t="s">
        <v>772</v>
      </c>
      <c r="C169" s="2" t="s">
        <v>14</v>
      </c>
      <c r="D169" s="2" t="s">
        <v>15</v>
      </c>
      <c r="E169" s="2" t="s">
        <v>23</v>
      </c>
      <c r="F169" s="3">
        <f>+5491173597359</f>
        <v>5491173597359</v>
      </c>
      <c r="G169" s="2" t="s">
        <v>773</v>
      </c>
      <c r="H169" s="2" t="s">
        <v>25</v>
      </c>
      <c r="I169" s="2" t="s">
        <v>764</v>
      </c>
      <c r="J169" s="2" t="s">
        <v>765</v>
      </c>
      <c r="K169" s="4">
        <v>46146.0</v>
      </c>
      <c r="L169" s="2" t="s">
        <v>774</v>
      </c>
    </row>
    <row r="170">
      <c r="A170" s="2" t="s">
        <v>775</v>
      </c>
      <c r="B170" s="2" t="s">
        <v>776</v>
      </c>
      <c r="C170" s="2" t="s">
        <v>14</v>
      </c>
      <c r="D170" s="2" t="s">
        <v>15</v>
      </c>
      <c r="E170" s="2" t="s">
        <v>23</v>
      </c>
      <c r="F170" s="3">
        <f>+5493517078615</f>
        <v>5493517078615</v>
      </c>
      <c r="G170" s="2" t="s">
        <v>777</v>
      </c>
      <c r="H170" s="2" t="s">
        <v>18</v>
      </c>
      <c r="I170" s="2" t="s">
        <v>18</v>
      </c>
      <c r="J170" s="2" t="s">
        <v>778</v>
      </c>
      <c r="K170" s="4">
        <v>46146.0</v>
      </c>
      <c r="L170" s="2" t="s">
        <v>779</v>
      </c>
    </row>
    <row r="171">
      <c r="A171" s="2" t="s">
        <v>780</v>
      </c>
      <c r="B171" s="2" t="s">
        <v>781</v>
      </c>
      <c r="C171" s="2" t="s">
        <v>14</v>
      </c>
      <c r="D171" s="2" t="s">
        <v>15</v>
      </c>
      <c r="E171" s="2" t="s">
        <v>23</v>
      </c>
      <c r="F171" s="3">
        <f>+5493412838913</f>
        <v>5493412838913</v>
      </c>
      <c r="G171" s="2" t="s">
        <v>782</v>
      </c>
      <c r="H171" s="2" t="s">
        <v>65</v>
      </c>
      <c r="I171" s="2" t="s">
        <v>218</v>
      </c>
      <c r="J171" s="2" t="s">
        <v>219</v>
      </c>
      <c r="K171" s="4">
        <v>46146.0</v>
      </c>
      <c r="L171" s="2" t="s">
        <v>783</v>
      </c>
    </row>
    <row r="172">
      <c r="A172" s="2" t="s">
        <v>784</v>
      </c>
      <c r="B172" s="2" t="s">
        <v>785</v>
      </c>
      <c r="C172" s="2" t="s">
        <v>14</v>
      </c>
      <c r="D172" s="2" t="s">
        <v>15</v>
      </c>
      <c r="E172" s="2" t="s">
        <v>23</v>
      </c>
      <c r="F172" s="3">
        <f>+5491163815417</f>
        <v>5491163815417</v>
      </c>
      <c r="G172" s="2" t="s">
        <v>786</v>
      </c>
      <c r="H172" s="2" t="s">
        <v>25</v>
      </c>
      <c r="I172" s="2" t="s">
        <v>357</v>
      </c>
      <c r="J172" s="2" t="s">
        <v>787</v>
      </c>
      <c r="K172" s="4">
        <v>46146.0</v>
      </c>
      <c r="L172" s="2" t="s">
        <v>788</v>
      </c>
    </row>
    <row r="173">
      <c r="A173" s="2" t="s">
        <v>789</v>
      </c>
      <c r="B173" s="2" t="s">
        <v>790</v>
      </c>
      <c r="C173" s="2" t="s">
        <v>14</v>
      </c>
      <c r="D173" s="2" t="s">
        <v>15</v>
      </c>
      <c r="E173" s="2" t="s">
        <v>23</v>
      </c>
      <c r="F173" s="3">
        <f>+5491156600993</f>
        <v>5491156600993</v>
      </c>
      <c r="G173" s="2" t="s">
        <v>791</v>
      </c>
      <c r="H173" s="2" t="s">
        <v>32</v>
      </c>
      <c r="I173" s="2" t="s">
        <v>25</v>
      </c>
      <c r="J173" s="2" t="s">
        <v>792</v>
      </c>
      <c r="K173" s="4">
        <v>46146.0</v>
      </c>
      <c r="L173" s="2" t="s">
        <v>793</v>
      </c>
    </row>
    <row r="174">
      <c r="A174" s="2" t="s">
        <v>794</v>
      </c>
      <c r="B174" s="2" t="s">
        <v>795</v>
      </c>
      <c r="C174" s="2" t="s">
        <v>14</v>
      </c>
      <c r="D174" s="2" t="s">
        <v>15</v>
      </c>
      <c r="E174" s="2" t="s">
        <v>23</v>
      </c>
      <c r="F174" s="3">
        <f>+5491166493550</f>
        <v>5491166493550</v>
      </c>
      <c r="G174" s="2" t="s">
        <v>796</v>
      </c>
      <c r="H174" s="2" t="s">
        <v>25</v>
      </c>
      <c r="I174" s="2" t="s">
        <v>160</v>
      </c>
      <c r="J174" s="2" t="s">
        <v>797</v>
      </c>
      <c r="K174" s="4">
        <v>46146.0</v>
      </c>
      <c r="L174" s="2" t="s">
        <v>798</v>
      </c>
    </row>
    <row r="175">
      <c r="A175" s="2" t="s">
        <v>799</v>
      </c>
      <c r="B175" s="2" t="s">
        <v>800</v>
      </c>
      <c r="C175" s="2" t="s">
        <v>14</v>
      </c>
      <c r="D175" s="2" t="s">
        <v>15</v>
      </c>
      <c r="E175" s="2" t="s">
        <v>16</v>
      </c>
      <c r="F175" s="3">
        <f>+5491159547431</f>
        <v>5491159547431</v>
      </c>
      <c r="G175" s="2" t="s">
        <v>801</v>
      </c>
      <c r="H175" s="2" t="s">
        <v>25</v>
      </c>
      <c r="I175" s="2" t="s">
        <v>44</v>
      </c>
      <c r="J175" s="2" t="s">
        <v>44</v>
      </c>
      <c r="K175" s="4">
        <v>46146.0</v>
      </c>
      <c r="L175" s="2" t="s">
        <v>802</v>
      </c>
    </row>
    <row r="176">
      <c r="A176" s="2" t="s">
        <v>803</v>
      </c>
      <c r="B176" s="2" t="s">
        <v>804</v>
      </c>
      <c r="C176" s="2" t="s">
        <v>185</v>
      </c>
      <c r="D176" s="2" t="s">
        <v>15</v>
      </c>
      <c r="E176" s="2" t="s">
        <v>16</v>
      </c>
      <c r="F176" s="3">
        <f>+5491111111111</f>
        <v>5491111111111</v>
      </c>
      <c r="G176" s="2" t="s">
        <v>805</v>
      </c>
      <c r="H176" s="2" t="s">
        <v>32</v>
      </c>
      <c r="I176" s="2" t="s">
        <v>25</v>
      </c>
      <c r="J176" s="2" t="s">
        <v>213</v>
      </c>
      <c r="K176" s="4">
        <v>46146.0</v>
      </c>
      <c r="L176" s="2" t="s">
        <v>806</v>
      </c>
    </row>
    <row r="177">
      <c r="A177" s="2" t="s">
        <v>807</v>
      </c>
      <c r="B177" s="2" t="s">
        <v>808</v>
      </c>
      <c r="C177" s="2" t="s">
        <v>14</v>
      </c>
      <c r="D177" s="2" t="s">
        <v>15</v>
      </c>
      <c r="E177" s="2" t="s">
        <v>16</v>
      </c>
      <c r="F177" s="3">
        <f>+5491131663576</f>
        <v>5491131663576</v>
      </c>
      <c r="G177" s="2" t="s">
        <v>809</v>
      </c>
      <c r="H177" s="2" t="s">
        <v>18</v>
      </c>
      <c r="I177" s="2" t="s">
        <v>535</v>
      </c>
      <c r="J177" s="2" t="s">
        <v>635</v>
      </c>
      <c r="K177" s="4">
        <v>46146.0</v>
      </c>
      <c r="L177" s="2" t="s">
        <v>810</v>
      </c>
    </row>
    <row r="178">
      <c r="A178" s="2" t="s">
        <v>811</v>
      </c>
      <c r="B178" s="2" t="s">
        <v>812</v>
      </c>
      <c r="C178" s="2" t="s">
        <v>14</v>
      </c>
      <c r="D178" s="2" t="s">
        <v>15</v>
      </c>
      <c r="E178" s="2" t="s">
        <v>23</v>
      </c>
      <c r="F178" s="3">
        <f>+5491169439759</f>
        <v>5491169439759</v>
      </c>
      <c r="G178" s="2" t="s">
        <v>813</v>
      </c>
      <c r="H178" s="2" t="s">
        <v>25</v>
      </c>
      <c r="I178" s="2" t="s">
        <v>314</v>
      </c>
      <c r="J178" s="2" t="s">
        <v>814</v>
      </c>
      <c r="K178" s="4">
        <v>46146.0</v>
      </c>
      <c r="L178" s="2" t="s">
        <v>815</v>
      </c>
    </row>
    <row r="179">
      <c r="A179" s="2" t="s">
        <v>816</v>
      </c>
      <c r="B179" s="2" t="s">
        <v>817</v>
      </c>
      <c r="C179" s="2" t="s">
        <v>14</v>
      </c>
      <c r="D179" s="2" t="s">
        <v>15</v>
      </c>
      <c r="E179" s="2" t="s">
        <v>16</v>
      </c>
      <c r="F179" s="3">
        <f>+5491131663576</f>
        <v>5491131663576</v>
      </c>
      <c r="G179" s="2" t="s">
        <v>818</v>
      </c>
      <c r="H179" s="2" t="s">
        <v>18</v>
      </c>
      <c r="I179" s="2" t="s">
        <v>18</v>
      </c>
      <c r="J179" s="2" t="s">
        <v>819</v>
      </c>
      <c r="K179" s="4">
        <v>46146.0</v>
      </c>
      <c r="L179" s="2" t="s">
        <v>820</v>
      </c>
    </row>
    <row r="180">
      <c r="A180" s="2" t="s">
        <v>821</v>
      </c>
      <c r="B180" s="2" t="s">
        <v>822</v>
      </c>
      <c r="C180" s="2" t="s">
        <v>14</v>
      </c>
      <c r="D180" s="2" t="s">
        <v>15</v>
      </c>
      <c r="E180" s="2" t="s">
        <v>23</v>
      </c>
      <c r="F180" s="3">
        <f>+5493517638001</f>
        <v>5493517638001</v>
      </c>
      <c r="G180" s="2" t="s">
        <v>823</v>
      </c>
      <c r="H180" s="2" t="s">
        <v>18</v>
      </c>
      <c r="I180" s="2" t="s">
        <v>18</v>
      </c>
      <c r="J180" s="2" t="s">
        <v>712</v>
      </c>
      <c r="K180" s="4">
        <v>46146.0</v>
      </c>
      <c r="L180" s="2" t="s">
        <v>824</v>
      </c>
    </row>
    <row r="181">
      <c r="A181" s="2" t="s">
        <v>825</v>
      </c>
      <c r="B181" s="2" t="s">
        <v>826</v>
      </c>
      <c r="C181" s="2" t="s">
        <v>14</v>
      </c>
      <c r="D181" s="2" t="s">
        <v>15</v>
      </c>
      <c r="E181" s="2" t="s">
        <v>16</v>
      </c>
      <c r="F181" s="3">
        <f>+5491163707720</f>
        <v>5491163707720</v>
      </c>
      <c r="G181" s="2" t="s">
        <v>827</v>
      </c>
      <c r="H181" s="2" t="s">
        <v>32</v>
      </c>
      <c r="I181" s="2" t="s">
        <v>25</v>
      </c>
      <c r="J181" s="2" t="s">
        <v>33</v>
      </c>
      <c r="K181" s="4">
        <v>46146.0</v>
      </c>
      <c r="L181" s="2" t="s">
        <v>828</v>
      </c>
    </row>
    <row r="182">
      <c r="A182" s="2" t="s">
        <v>829</v>
      </c>
      <c r="B182" s="2" t="s">
        <v>830</v>
      </c>
      <c r="C182" s="2" t="s">
        <v>831</v>
      </c>
      <c r="D182" s="2" t="s">
        <v>15</v>
      </c>
      <c r="E182" s="2" t="s">
        <v>23</v>
      </c>
      <c r="F182" s="3">
        <f>+5491123306981</f>
        <v>5491123306981</v>
      </c>
      <c r="G182" s="2" t="s">
        <v>832</v>
      </c>
      <c r="H182" s="2" t="s">
        <v>32</v>
      </c>
      <c r="I182" s="2" t="s">
        <v>25</v>
      </c>
      <c r="J182" s="2" t="s">
        <v>213</v>
      </c>
      <c r="K182" s="4">
        <v>46146.0</v>
      </c>
      <c r="L182" s="2" t="s">
        <v>833</v>
      </c>
    </row>
    <row r="183">
      <c r="A183" s="2" t="s">
        <v>834</v>
      </c>
      <c r="B183" s="2" t="s">
        <v>835</v>
      </c>
      <c r="C183" s="2" t="s">
        <v>14</v>
      </c>
      <c r="D183" s="2" t="s">
        <v>15</v>
      </c>
      <c r="E183" s="2" t="s">
        <v>23</v>
      </c>
      <c r="F183" s="3">
        <f>+5491121564321</f>
        <v>5491121564321</v>
      </c>
      <c r="G183" s="2" t="s">
        <v>836</v>
      </c>
      <c r="H183" s="2" t="s">
        <v>25</v>
      </c>
      <c r="I183" s="2" t="s">
        <v>84</v>
      </c>
      <c r="J183" s="2" t="s">
        <v>744</v>
      </c>
      <c r="K183" s="4">
        <v>46146.0</v>
      </c>
      <c r="L183" s="2" t="s">
        <v>837</v>
      </c>
    </row>
    <row r="184">
      <c r="A184" s="2" t="s">
        <v>838</v>
      </c>
      <c r="B184" s="2" t="s">
        <v>839</v>
      </c>
      <c r="C184" s="2" t="s">
        <v>14</v>
      </c>
      <c r="D184" s="2" t="s">
        <v>15</v>
      </c>
      <c r="E184" s="2" t="s">
        <v>23</v>
      </c>
      <c r="F184" s="3">
        <f>+5492915062456</f>
        <v>5492915062456</v>
      </c>
      <c r="G184" s="2" t="s">
        <v>840</v>
      </c>
      <c r="H184" s="2" t="s">
        <v>25</v>
      </c>
      <c r="I184" s="2" t="s">
        <v>841</v>
      </c>
      <c r="J184" s="2" t="s">
        <v>219</v>
      </c>
      <c r="K184" s="4">
        <v>46146.0</v>
      </c>
      <c r="L184" s="2" t="s">
        <v>842</v>
      </c>
    </row>
    <row r="185">
      <c r="A185" s="2" t="s">
        <v>843</v>
      </c>
      <c r="B185" s="2" t="s">
        <v>844</v>
      </c>
      <c r="C185" s="2" t="s">
        <v>14</v>
      </c>
      <c r="D185" s="2" t="s">
        <v>15</v>
      </c>
      <c r="E185" s="2" t="s">
        <v>16</v>
      </c>
      <c r="F185" s="3">
        <f>+5491139430964</f>
        <v>5491139430964</v>
      </c>
      <c r="G185" s="2" t="s">
        <v>845</v>
      </c>
      <c r="H185" s="2" t="s">
        <v>32</v>
      </c>
      <c r="I185" s="2" t="s">
        <v>25</v>
      </c>
      <c r="J185" s="2" t="s">
        <v>846</v>
      </c>
      <c r="K185" s="4">
        <v>46146.0</v>
      </c>
      <c r="L185" s="2" t="s">
        <v>847</v>
      </c>
    </row>
    <row r="186">
      <c r="A186" s="2" t="s">
        <v>848</v>
      </c>
      <c r="B186" s="2" t="s">
        <v>849</v>
      </c>
      <c r="C186" s="2" t="s">
        <v>14</v>
      </c>
      <c r="D186" s="2" t="s">
        <v>15</v>
      </c>
      <c r="E186" s="2" t="s">
        <v>23</v>
      </c>
      <c r="F186" s="3">
        <f>+5491125121525</f>
        <v>5491125121525</v>
      </c>
      <c r="G186" s="2" t="s">
        <v>850</v>
      </c>
      <c r="H186" s="2" t="s">
        <v>25</v>
      </c>
      <c r="I186" s="2" t="s">
        <v>230</v>
      </c>
      <c r="J186" s="2" t="s">
        <v>851</v>
      </c>
      <c r="K186" s="4">
        <v>46146.0</v>
      </c>
      <c r="L186" s="2" t="s">
        <v>852</v>
      </c>
    </row>
    <row r="187">
      <c r="A187" s="2" t="s">
        <v>853</v>
      </c>
      <c r="B187" s="2" t="s">
        <v>854</v>
      </c>
      <c r="C187" s="2" t="s">
        <v>14</v>
      </c>
      <c r="D187" s="2" t="s">
        <v>15</v>
      </c>
      <c r="E187" s="2" t="s">
        <v>23</v>
      </c>
      <c r="F187" s="3">
        <f>+5491166501141</f>
        <v>5491166501141</v>
      </c>
      <c r="G187" s="2" t="s">
        <v>855</v>
      </c>
      <c r="H187" s="2" t="s">
        <v>25</v>
      </c>
      <c r="I187" s="2" t="s">
        <v>230</v>
      </c>
      <c r="J187" s="2" t="s">
        <v>856</v>
      </c>
      <c r="K187" s="4">
        <v>46146.0</v>
      </c>
      <c r="L187" s="2" t="s">
        <v>857</v>
      </c>
    </row>
    <row r="188">
      <c r="A188" s="2" t="s">
        <v>858</v>
      </c>
      <c r="B188" s="2" t="s">
        <v>859</v>
      </c>
      <c r="C188" s="2" t="s">
        <v>14</v>
      </c>
      <c r="D188" s="2" t="s">
        <v>15</v>
      </c>
      <c r="E188" s="2" t="s">
        <v>16</v>
      </c>
      <c r="F188" s="3">
        <f>+5491168396922</f>
        <v>5491168396922</v>
      </c>
      <c r="G188" s="2" t="s">
        <v>860</v>
      </c>
      <c r="H188" s="2" t="s">
        <v>32</v>
      </c>
      <c r="I188" s="2" t="s">
        <v>25</v>
      </c>
      <c r="J188" s="2" t="s">
        <v>33</v>
      </c>
      <c r="K188" s="4">
        <v>46146.0</v>
      </c>
      <c r="L188" s="2" t="s">
        <v>861</v>
      </c>
    </row>
    <row r="189">
      <c r="A189" s="2" t="s">
        <v>862</v>
      </c>
      <c r="B189" s="2" t="s">
        <v>863</v>
      </c>
      <c r="C189" s="2" t="s">
        <v>14</v>
      </c>
      <c r="D189" s="2" t="s">
        <v>15</v>
      </c>
      <c r="E189" s="2" t="s">
        <v>23</v>
      </c>
      <c r="F189" s="3">
        <f>+5491134175868</f>
        <v>5491134175868</v>
      </c>
      <c r="G189" s="2" t="s">
        <v>864</v>
      </c>
      <c r="H189" s="2" t="s">
        <v>25</v>
      </c>
      <c r="I189" s="2" t="s">
        <v>97</v>
      </c>
      <c r="J189" s="2" t="s">
        <v>98</v>
      </c>
      <c r="K189" s="4">
        <v>46146.0</v>
      </c>
      <c r="L189" s="2" t="s">
        <v>865</v>
      </c>
    </row>
    <row r="190">
      <c r="A190" s="2" t="s">
        <v>866</v>
      </c>
      <c r="B190" s="2" t="s">
        <v>867</v>
      </c>
      <c r="C190" s="2" t="s">
        <v>14</v>
      </c>
      <c r="D190" s="2" t="s">
        <v>15</v>
      </c>
      <c r="E190" s="2" t="s">
        <v>23</v>
      </c>
      <c r="F190" s="3">
        <f>+5493875209926</f>
        <v>5493875209926</v>
      </c>
      <c r="G190" s="2" t="s">
        <v>868</v>
      </c>
      <c r="H190" s="2" t="s">
        <v>725</v>
      </c>
      <c r="I190" s="2" t="s">
        <v>725</v>
      </c>
      <c r="J190" s="2" t="s">
        <v>869</v>
      </c>
      <c r="K190" s="4">
        <v>46146.0</v>
      </c>
      <c r="L190" s="2" t="s">
        <v>870</v>
      </c>
    </row>
    <row r="191">
      <c r="A191" s="2" t="s">
        <v>871</v>
      </c>
      <c r="B191" s="2" t="s">
        <v>872</v>
      </c>
      <c r="C191" s="2" t="s">
        <v>14</v>
      </c>
      <c r="D191" s="2" t="s">
        <v>15</v>
      </c>
      <c r="E191" s="2" t="s">
        <v>23</v>
      </c>
      <c r="F191" s="3">
        <f>+5491141755216</f>
        <v>5491141755216</v>
      </c>
      <c r="G191" s="2" t="s">
        <v>873</v>
      </c>
      <c r="H191" s="2" t="s">
        <v>32</v>
      </c>
      <c r="I191" s="2" t="s">
        <v>25</v>
      </c>
      <c r="J191" s="2" t="s">
        <v>874</v>
      </c>
      <c r="K191" s="4">
        <v>46146.0</v>
      </c>
      <c r="L191" s="2" t="s">
        <v>875</v>
      </c>
    </row>
    <row r="192">
      <c r="A192" s="2" t="s">
        <v>876</v>
      </c>
      <c r="B192" s="2" t="s">
        <v>877</v>
      </c>
      <c r="C192" s="2" t="s">
        <v>14</v>
      </c>
      <c r="D192" s="2" t="s">
        <v>15</v>
      </c>
      <c r="E192" s="2" t="s">
        <v>23</v>
      </c>
      <c r="F192" s="3">
        <f>+5493815759526</f>
        <v>5493815759526</v>
      </c>
      <c r="G192" s="2" t="s">
        <v>878</v>
      </c>
      <c r="H192" s="2" t="s">
        <v>55</v>
      </c>
      <c r="I192" s="2" t="s">
        <v>56</v>
      </c>
      <c r="J192" s="2" t="s">
        <v>56</v>
      </c>
      <c r="K192" s="4">
        <v>46146.0</v>
      </c>
      <c r="L192" s="2" t="s">
        <v>879</v>
      </c>
    </row>
    <row r="193">
      <c r="A193" s="2" t="s">
        <v>880</v>
      </c>
      <c r="B193" s="2" t="s">
        <v>881</v>
      </c>
      <c r="C193" s="2" t="s">
        <v>14</v>
      </c>
      <c r="D193" s="2" t="s">
        <v>15</v>
      </c>
      <c r="E193" s="2" t="s">
        <v>23</v>
      </c>
      <c r="F193" s="3">
        <f>+5493814657138</f>
        <v>5493814657138</v>
      </c>
      <c r="G193" s="2" t="s">
        <v>882</v>
      </c>
      <c r="H193" s="2" t="s">
        <v>55</v>
      </c>
      <c r="I193" s="2" t="s">
        <v>883</v>
      </c>
      <c r="J193" s="2" t="s">
        <v>884</v>
      </c>
      <c r="K193" s="4">
        <v>46146.0</v>
      </c>
      <c r="L193" s="2" t="s">
        <v>885</v>
      </c>
    </row>
    <row r="194">
      <c r="A194" s="2" t="s">
        <v>886</v>
      </c>
      <c r="B194" s="2" t="s">
        <v>887</v>
      </c>
      <c r="C194" s="2" t="s">
        <v>14</v>
      </c>
      <c r="D194" s="2" t="s">
        <v>15</v>
      </c>
      <c r="E194" s="2" t="s">
        <v>23</v>
      </c>
      <c r="F194" s="3">
        <f>+5491131348854</f>
        <v>5491131348854</v>
      </c>
      <c r="G194" s="2" t="s">
        <v>888</v>
      </c>
      <c r="H194" s="2" t="s">
        <v>25</v>
      </c>
      <c r="I194" s="2" t="s">
        <v>38</v>
      </c>
      <c r="J194" s="2" t="s">
        <v>103</v>
      </c>
      <c r="K194" s="4">
        <v>46146.0</v>
      </c>
      <c r="L194" s="2" t="s">
        <v>889</v>
      </c>
    </row>
    <row r="195">
      <c r="A195" s="2" t="s">
        <v>890</v>
      </c>
      <c r="B195" s="2" t="s">
        <v>891</v>
      </c>
      <c r="C195" s="2" t="s">
        <v>14</v>
      </c>
      <c r="D195" s="2" t="s">
        <v>15</v>
      </c>
      <c r="E195" s="2" t="s">
        <v>23</v>
      </c>
      <c r="F195" s="3">
        <f>+5491144002891</f>
        <v>5491144002891</v>
      </c>
      <c r="G195" s="2" t="s">
        <v>892</v>
      </c>
      <c r="H195" s="2" t="s">
        <v>25</v>
      </c>
      <c r="I195" s="2" t="s">
        <v>97</v>
      </c>
      <c r="J195" s="2" t="s">
        <v>97</v>
      </c>
      <c r="K195" s="4">
        <v>46145.0</v>
      </c>
      <c r="L195" s="2" t="s">
        <v>893</v>
      </c>
    </row>
    <row r="196">
      <c r="A196" s="2" t="s">
        <v>894</v>
      </c>
      <c r="B196" s="2" t="s">
        <v>895</v>
      </c>
      <c r="C196" s="2" t="s">
        <v>14</v>
      </c>
      <c r="D196" s="2" t="s">
        <v>15</v>
      </c>
      <c r="E196" s="2" t="s">
        <v>23</v>
      </c>
      <c r="F196" s="3">
        <f>+5491138480554</f>
        <v>5491138480554</v>
      </c>
      <c r="G196" s="2" t="s">
        <v>896</v>
      </c>
      <c r="H196" s="2" t="s">
        <v>32</v>
      </c>
      <c r="I196" s="2" t="s">
        <v>25</v>
      </c>
      <c r="J196" s="2" t="s">
        <v>897</v>
      </c>
      <c r="K196" s="4">
        <v>46145.0</v>
      </c>
      <c r="L196" s="2" t="s">
        <v>898</v>
      </c>
    </row>
    <row r="197">
      <c r="A197" s="2" t="s">
        <v>899</v>
      </c>
      <c r="B197" s="2" t="s">
        <v>900</v>
      </c>
      <c r="C197" s="2" t="s">
        <v>14</v>
      </c>
      <c r="D197" s="2" t="s">
        <v>15</v>
      </c>
      <c r="E197" s="2" t="s">
        <v>23</v>
      </c>
      <c r="F197" s="3">
        <f>+5492617053532</f>
        <v>5492617053532</v>
      </c>
      <c r="G197" s="2" t="s">
        <v>901</v>
      </c>
      <c r="H197" s="2" t="s">
        <v>71</v>
      </c>
      <c r="I197" s="2" t="s">
        <v>902</v>
      </c>
      <c r="J197" s="2" t="s">
        <v>903</v>
      </c>
      <c r="K197" s="4">
        <v>46144.0</v>
      </c>
      <c r="L197" s="2" t="s">
        <v>904</v>
      </c>
    </row>
    <row r="198">
      <c r="A198" s="2" t="s">
        <v>905</v>
      </c>
      <c r="B198" s="2" t="s">
        <v>906</v>
      </c>
      <c r="C198" s="2" t="s">
        <v>14</v>
      </c>
      <c r="D198" s="2" t="s">
        <v>15</v>
      </c>
      <c r="E198" s="2" t="s">
        <v>16</v>
      </c>
      <c r="F198" s="3">
        <f>+5491154587869</f>
        <v>5491154587869</v>
      </c>
      <c r="G198" s="2" t="s">
        <v>907</v>
      </c>
      <c r="H198" s="2" t="s">
        <v>25</v>
      </c>
      <c r="I198" s="2" t="s">
        <v>97</v>
      </c>
      <c r="J198" s="2" t="s">
        <v>697</v>
      </c>
      <c r="K198" s="4">
        <v>46144.0</v>
      </c>
      <c r="L198" s="2" t="s">
        <v>908</v>
      </c>
    </row>
    <row r="199">
      <c r="A199" s="2" t="s">
        <v>909</v>
      </c>
      <c r="B199" s="2" t="s">
        <v>910</v>
      </c>
      <c r="C199" s="2" t="s">
        <v>14</v>
      </c>
      <c r="D199" s="2" t="s">
        <v>15</v>
      </c>
      <c r="E199" s="2" t="s">
        <v>16</v>
      </c>
      <c r="F199" s="3">
        <f>+5491131974986</f>
        <v>5491131974986</v>
      </c>
      <c r="G199" s="2" t="s">
        <v>911</v>
      </c>
      <c r="H199" s="2" t="s">
        <v>25</v>
      </c>
      <c r="I199" s="2" t="s">
        <v>314</v>
      </c>
      <c r="J199" s="2" t="s">
        <v>912</v>
      </c>
      <c r="K199" s="4">
        <v>46144.0</v>
      </c>
      <c r="L199" s="2" t="s">
        <v>913</v>
      </c>
    </row>
    <row r="200">
      <c r="A200" s="2" t="s">
        <v>914</v>
      </c>
      <c r="B200" s="2" t="s">
        <v>915</v>
      </c>
      <c r="C200" s="2" t="s">
        <v>14</v>
      </c>
      <c r="D200" s="2" t="s">
        <v>15</v>
      </c>
      <c r="E200" s="2" t="s">
        <v>23</v>
      </c>
      <c r="F200" s="3">
        <f>+5492613416245</f>
        <v>5492613416245</v>
      </c>
      <c r="G200" s="2" t="s">
        <v>916</v>
      </c>
      <c r="H200" s="2" t="s">
        <v>71</v>
      </c>
      <c r="I200" s="2" t="s">
        <v>71</v>
      </c>
      <c r="J200" s="2" t="s">
        <v>917</v>
      </c>
      <c r="K200" s="4">
        <v>46144.0</v>
      </c>
      <c r="L200" s="2" t="s">
        <v>918</v>
      </c>
    </row>
    <row r="201">
      <c r="A201" s="2" t="s">
        <v>919</v>
      </c>
      <c r="B201" s="2" t="s">
        <v>920</v>
      </c>
      <c r="C201" s="2" t="s">
        <v>14</v>
      </c>
      <c r="D201" s="2" t="s">
        <v>15</v>
      </c>
      <c r="E201" s="2" t="s">
        <v>23</v>
      </c>
      <c r="F201" s="3">
        <f>+5493875556551</f>
        <v>5493875556551</v>
      </c>
      <c r="G201" s="2" t="s">
        <v>921</v>
      </c>
      <c r="H201" s="2" t="s">
        <v>725</v>
      </c>
      <c r="I201" s="2" t="s">
        <v>725</v>
      </c>
      <c r="J201" s="2" t="s">
        <v>219</v>
      </c>
      <c r="K201" s="4">
        <v>46144.0</v>
      </c>
      <c r="L201" s="2" t="s">
        <v>922</v>
      </c>
    </row>
    <row r="202">
      <c r="A202" s="2" t="s">
        <v>923</v>
      </c>
      <c r="B202" s="2" t="s">
        <v>924</v>
      </c>
      <c r="C202" s="2" t="s">
        <v>14</v>
      </c>
      <c r="D202" s="2" t="s">
        <v>15</v>
      </c>
      <c r="E202" s="2" t="s">
        <v>23</v>
      </c>
      <c r="F202" s="3">
        <f>+5491133240533</f>
        <v>5491133240533</v>
      </c>
      <c r="G202" s="2" t="s">
        <v>925</v>
      </c>
      <c r="H202" s="2" t="s">
        <v>32</v>
      </c>
      <c r="I202" s="2" t="s">
        <v>25</v>
      </c>
      <c r="J202" s="2" t="s">
        <v>926</v>
      </c>
      <c r="K202" s="4">
        <v>46144.0</v>
      </c>
      <c r="L202" s="2" t="s">
        <v>927</v>
      </c>
    </row>
    <row r="203">
      <c r="A203" s="2" t="s">
        <v>928</v>
      </c>
      <c r="B203" s="2" t="s">
        <v>929</v>
      </c>
      <c r="C203" s="2" t="s">
        <v>14</v>
      </c>
      <c r="D203" s="2" t="s">
        <v>15</v>
      </c>
      <c r="E203" s="2" t="s">
        <v>23</v>
      </c>
      <c r="F203" s="3">
        <f>+5491173622252</f>
        <v>5491173622252</v>
      </c>
      <c r="G203" s="2" t="s">
        <v>930</v>
      </c>
      <c r="H203" s="2" t="s">
        <v>25</v>
      </c>
      <c r="I203" s="2" t="s">
        <v>97</v>
      </c>
      <c r="J203" s="2" t="s">
        <v>97</v>
      </c>
      <c r="K203" s="4">
        <v>46143.0</v>
      </c>
      <c r="L203" s="2" t="s">
        <v>931</v>
      </c>
    </row>
    <row r="204">
      <c r="A204" s="2" t="s">
        <v>932</v>
      </c>
      <c r="B204" s="2" t="s">
        <v>933</v>
      </c>
      <c r="C204" s="2" t="s">
        <v>14</v>
      </c>
      <c r="D204" s="2" t="s">
        <v>15</v>
      </c>
      <c r="E204" s="2" t="s">
        <v>23</v>
      </c>
      <c r="F204" s="3">
        <f>+5493513871930</f>
        <v>5493513871930</v>
      </c>
      <c r="G204" s="2" t="s">
        <v>934</v>
      </c>
      <c r="H204" s="2" t="s">
        <v>18</v>
      </c>
      <c r="I204" s="2" t="s">
        <v>18</v>
      </c>
      <c r="J204" s="2" t="s">
        <v>935</v>
      </c>
      <c r="K204" s="4">
        <v>46143.0</v>
      </c>
      <c r="L204" s="2" t="s">
        <v>936</v>
      </c>
    </row>
    <row r="205">
      <c r="A205" s="2" t="s">
        <v>937</v>
      </c>
      <c r="B205" s="2" t="s">
        <v>938</v>
      </c>
      <c r="C205" s="2" t="s">
        <v>14</v>
      </c>
      <c r="D205" s="2" t="s">
        <v>15</v>
      </c>
      <c r="E205" s="2" t="s">
        <v>23</v>
      </c>
      <c r="F205" s="3">
        <f>+5491137866379</f>
        <v>5491137866379</v>
      </c>
      <c r="G205" s="2" t="s">
        <v>939</v>
      </c>
      <c r="H205" s="2" t="s">
        <v>25</v>
      </c>
      <c r="I205" s="2" t="s">
        <v>78</v>
      </c>
      <c r="J205" s="2" t="s">
        <v>79</v>
      </c>
      <c r="K205" s="4">
        <v>46143.0</v>
      </c>
      <c r="L205" s="2" t="s">
        <v>940</v>
      </c>
    </row>
    <row r="206">
      <c r="A206" s="2" t="s">
        <v>941</v>
      </c>
      <c r="B206" s="2" t="s">
        <v>942</v>
      </c>
      <c r="C206" s="2" t="s">
        <v>14</v>
      </c>
      <c r="D206" s="2" t="s">
        <v>15</v>
      </c>
      <c r="E206" s="2" t="s">
        <v>23</v>
      </c>
      <c r="F206" s="3">
        <f>+5491124618287</f>
        <v>5491124618287</v>
      </c>
      <c r="G206" s="2" t="s">
        <v>943</v>
      </c>
      <c r="H206" s="2" t="s">
        <v>25</v>
      </c>
      <c r="I206" s="2" t="s">
        <v>97</v>
      </c>
      <c r="J206" s="2" t="s">
        <v>97</v>
      </c>
      <c r="K206" s="4">
        <v>46143.0</v>
      </c>
      <c r="L206" s="2" t="s">
        <v>944</v>
      </c>
    </row>
    <row r="207">
      <c r="A207" s="2" t="s">
        <v>945</v>
      </c>
      <c r="B207" s="2" t="s">
        <v>946</v>
      </c>
      <c r="C207" s="2" t="s">
        <v>14</v>
      </c>
      <c r="D207" s="2" t="s">
        <v>15</v>
      </c>
      <c r="E207" s="2" t="s">
        <v>16</v>
      </c>
      <c r="F207" s="3">
        <f>+5491131615834</f>
        <v>5491131615834</v>
      </c>
      <c r="G207" s="2" t="s">
        <v>947</v>
      </c>
      <c r="H207" s="2" t="s">
        <v>32</v>
      </c>
      <c r="I207" s="2" t="s">
        <v>25</v>
      </c>
      <c r="J207" s="2" t="s">
        <v>948</v>
      </c>
      <c r="K207" s="4">
        <v>46143.0</v>
      </c>
      <c r="L207" s="2" t="s">
        <v>949</v>
      </c>
    </row>
    <row r="208">
      <c r="A208" s="2" t="s">
        <v>950</v>
      </c>
      <c r="B208" s="2" t="s">
        <v>951</v>
      </c>
      <c r="C208" s="2" t="s">
        <v>14</v>
      </c>
      <c r="D208" s="2" t="s">
        <v>15</v>
      </c>
      <c r="E208" s="2" t="s">
        <v>23</v>
      </c>
      <c r="F208" s="3">
        <f>+5491135073899</f>
        <v>5491135073899</v>
      </c>
      <c r="G208" s="2" t="s">
        <v>952</v>
      </c>
      <c r="H208" s="2" t="s">
        <v>25</v>
      </c>
      <c r="I208" s="2" t="s">
        <v>357</v>
      </c>
      <c r="J208" s="2" t="s">
        <v>413</v>
      </c>
      <c r="K208" s="4">
        <v>46143.0</v>
      </c>
      <c r="L208" s="2" t="s">
        <v>953</v>
      </c>
    </row>
    <row r="209">
      <c r="A209" s="2" t="s">
        <v>954</v>
      </c>
      <c r="B209" s="2" t="s">
        <v>955</v>
      </c>
      <c r="C209" s="2" t="s">
        <v>14</v>
      </c>
      <c r="D209" s="2" t="s">
        <v>15</v>
      </c>
      <c r="E209" s="2" t="s">
        <v>23</v>
      </c>
      <c r="F209" s="3">
        <f>+5491179207002</f>
        <v>5491179207002</v>
      </c>
      <c r="G209" s="2" t="s">
        <v>956</v>
      </c>
      <c r="H209" s="2" t="s">
        <v>25</v>
      </c>
      <c r="I209" s="2" t="s">
        <v>957</v>
      </c>
      <c r="J209" s="2" t="s">
        <v>958</v>
      </c>
      <c r="K209" s="4">
        <v>46143.0</v>
      </c>
      <c r="L209" s="2" t="s">
        <v>959</v>
      </c>
    </row>
    <row r="210">
      <c r="A210" s="2" t="s">
        <v>960</v>
      </c>
      <c r="B210" s="2" t="s">
        <v>961</v>
      </c>
      <c r="C210" s="2" t="s">
        <v>14</v>
      </c>
      <c r="D210" s="2" t="s">
        <v>15</v>
      </c>
      <c r="E210" s="2" t="s">
        <v>23</v>
      </c>
      <c r="F210" s="3">
        <f>+5493517594005</f>
        <v>5493517594005</v>
      </c>
      <c r="G210" s="2" t="s">
        <v>962</v>
      </c>
      <c r="H210" s="2" t="s">
        <v>18</v>
      </c>
      <c r="I210" s="2" t="s">
        <v>18</v>
      </c>
      <c r="J210" s="2" t="s">
        <v>712</v>
      </c>
      <c r="K210" s="4">
        <v>46143.0</v>
      </c>
      <c r="L210" s="2" t="s">
        <v>963</v>
      </c>
    </row>
    <row r="211">
      <c r="A211" s="2" t="s">
        <v>964</v>
      </c>
      <c r="B211" s="2" t="s">
        <v>965</v>
      </c>
      <c r="C211" s="2" t="s">
        <v>14</v>
      </c>
      <c r="D211" s="2" t="s">
        <v>15</v>
      </c>
      <c r="E211" s="2" t="s">
        <v>23</v>
      </c>
      <c r="F211" s="3">
        <f>+5491151080224</f>
        <v>5491151080224</v>
      </c>
      <c r="G211" s="2" t="s">
        <v>966</v>
      </c>
      <c r="H211" s="2" t="s">
        <v>25</v>
      </c>
      <c r="I211" s="2" t="s">
        <v>764</v>
      </c>
      <c r="J211" s="2" t="s">
        <v>764</v>
      </c>
      <c r="K211" s="4">
        <v>46143.0</v>
      </c>
      <c r="L211" s="2" t="s">
        <v>967</v>
      </c>
    </row>
    <row r="212">
      <c r="A212" s="2" t="s">
        <v>968</v>
      </c>
      <c r="B212" s="2" t="s">
        <v>969</v>
      </c>
      <c r="C212" s="2" t="s">
        <v>14</v>
      </c>
      <c r="D212" s="2" t="s">
        <v>15</v>
      </c>
      <c r="E212" s="2" t="s">
        <v>23</v>
      </c>
      <c r="F212" s="3">
        <f>+5491159230823</f>
        <v>5491159230823</v>
      </c>
      <c r="G212" s="2" t="s">
        <v>970</v>
      </c>
      <c r="H212" s="2" t="s">
        <v>25</v>
      </c>
      <c r="I212" s="2" t="s">
        <v>971</v>
      </c>
      <c r="J212" s="2" t="s">
        <v>971</v>
      </c>
      <c r="K212" s="4">
        <v>46143.0</v>
      </c>
      <c r="L212" s="2" t="s">
        <v>972</v>
      </c>
    </row>
    <row r="213">
      <c r="A213" s="2" t="s">
        <v>973</v>
      </c>
      <c r="B213" s="2" t="s">
        <v>974</v>
      </c>
      <c r="C213" s="2" t="s">
        <v>14</v>
      </c>
      <c r="D213" s="2" t="s">
        <v>15</v>
      </c>
      <c r="E213" s="2" t="s">
        <v>23</v>
      </c>
      <c r="F213" s="3">
        <f>+5493484363752</f>
        <v>5493484363752</v>
      </c>
      <c r="G213" s="2" t="s">
        <v>975</v>
      </c>
      <c r="H213" s="2" t="s">
        <v>25</v>
      </c>
      <c r="I213" s="2" t="s">
        <v>38</v>
      </c>
      <c r="J213" s="2" t="s">
        <v>103</v>
      </c>
      <c r="K213" s="4">
        <v>46143.0</v>
      </c>
      <c r="L213" s="2" t="s">
        <v>976</v>
      </c>
    </row>
    <row r="214">
      <c r="A214" s="2" t="s">
        <v>977</v>
      </c>
      <c r="B214" s="2" t="s">
        <v>978</v>
      </c>
      <c r="C214" s="2" t="s">
        <v>14</v>
      </c>
      <c r="D214" s="2" t="s">
        <v>15</v>
      </c>
      <c r="E214" s="2" t="s">
        <v>23</v>
      </c>
      <c r="F214" s="3">
        <f>+5491124786318</f>
        <v>5491124786318</v>
      </c>
      <c r="G214" s="2" t="s">
        <v>979</v>
      </c>
      <c r="H214" s="2" t="s">
        <v>25</v>
      </c>
      <c r="I214" s="2" t="s">
        <v>118</v>
      </c>
      <c r="J214" s="2" t="s">
        <v>118</v>
      </c>
      <c r="K214" s="4">
        <v>46143.0</v>
      </c>
      <c r="L214" s="2" t="s">
        <v>980</v>
      </c>
    </row>
    <row r="215">
      <c r="A215" s="2" t="s">
        <v>981</v>
      </c>
      <c r="B215" s="2" t="s">
        <v>982</v>
      </c>
      <c r="C215" s="2" t="s">
        <v>14</v>
      </c>
      <c r="D215" s="2" t="s">
        <v>15</v>
      </c>
      <c r="E215" s="2" t="s">
        <v>23</v>
      </c>
      <c r="F215" s="3">
        <f>+543541424071</f>
        <v>543541424071</v>
      </c>
      <c r="G215" s="2" t="s">
        <v>983</v>
      </c>
      <c r="H215" s="2" t="s">
        <v>18</v>
      </c>
      <c r="I215" s="2" t="s">
        <v>535</v>
      </c>
      <c r="J215" s="2" t="s">
        <v>984</v>
      </c>
      <c r="K215" s="4">
        <v>46143.0</v>
      </c>
      <c r="L215" s="2" t="s">
        <v>985</v>
      </c>
    </row>
    <row r="216">
      <c r="A216" s="2" t="s">
        <v>986</v>
      </c>
      <c r="B216" s="2" t="s">
        <v>987</v>
      </c>
      <c r="C216" s="2" t="s">
        <v>14</v>
      </c>
      <c r="D216" s="2" t="s">
        <v>15</v>
      </c>
      <c r="E216" s="2" t="s">
        <v>23</v>
      </c>
      <c r="F216" s="3">
        <f>+5492615730068</f>
        <v>5492615730068</v>
      </c>
      <c r="G216" s="2" t="s">
        <v>988</v>
      </c>
      <c r="H216" s="2" t="s">
        <v>71</v>
      </c>
      <c r="I216" s="2" t="s">
        <v>902</v>
      </c>
      <c r="J216" s="2" t="s">
        <v>989</v>
      </c>
      <c r="K216" s="4">
        <v>46143.0</v>
      </c>
      <c r="L216" s="2" t="s">
        <v>990</v>
      </c>
    </row>
    <row r="217">
      <c r="A217" s="2" t="s">
        <v>991</v>
      </c>
      <c r="B217" s="2" t="s">
        <v>992</v>
      </c>
      <c r="C217" s="2" t="s">
        <v>14</v>
      </c>
      <c r="D217" s="2" t="s">
        <v>15</v>
      </c>
      <c r="E217" s="2" t="s">
        <v>23</v>
      </c>
      <c r="F217" s="3">
        <f>+5491154587869</f>
        <v>5491154587869</v>
      </c>
      <c r="G217" s="2" t="s">
        <v>907</v>
      </c>
      <c r="H217" s="2" t="s">
        <v>25</v>
      </c>
      <c r="I217" s="2" t="s">
        <v>97</v>
      </c>
      <c r="J217" s="2" t="s">
        <v>697</v>
      </c>
      <c r="K217" s="4">
        <v>46143.0</v>
      </c>
      <c r="L217" s="2" t="s">
        <v>908</v>
      </c>
    </row>
    <row r="218">
      <c r="A218" s="2" t="s">
        <v>993</v>
      </c>
      <c r="B218" s="2" t="s">
        <v>994</v>
      </c>
      <c r="C218" s="2" t="s">
        <v>14</v>
      </c>
      <c r="D218" s="2" t="s">
        <v>15</v>
      </c>
      <c r="E218" s="2" t="s">
        <v>23</v>
      </c>
      <c r="F218" s="3">
        <f>+5491176490057</f>
        <v>5491176490057</v>
      </c>
      <c r="G218" s="2" t="s">
        <v>995</v>
      </c>
      <c r="H218" s="2" t="s">
        <v>32</v>
      </c>
      <c r="I218" s="2" t="s">
        <v>25</v>
      </c>
      <c r="J218" s="2" t="s">
        <v>594</v>
      </c>
      <c r="K218" s="4">
        <v>46143.0</v>
      </c>
      <c r="L218" s="2" t="s">
        <v>996</v>
      </c>
    </row>
    <row r="219">
      <c r="A219" s="2" t="s">
        <v>997</v>
      </c>
      <c r="B219" s="2" t="s">
        <v>998</v>
      </c>
      <c r="C219" s="2" t="s">
        <v>14</v>
      </c>
      <c r="D219" s="2" t="s">
        <v>15</v>
      </c>
      <c r="E219" s="2" t="s">
        <v>23</v>
      </c>
      <c r="F219" s="3">
        <f>+5493492564395</f>
        <v>5493492564395</v>
      </c>
      <c r="G219" s="2" t="s">
        <v>999</v>
      </c>
      <c r="H219" s="2" t="s">
        <v>65</v>
      </c>
      <c r="I219" s="2" t="s">
        <v>1000</v>
      </c>
      <c r="J219" s="2" t="s">
        <v>1000</v>
      </c>
      <c r="K219" s="4">
        <v>46142.0</v>
      </c>
      <c r="L219" s="2" t="s">
        <v>1001</v>
      </c>
    </row>
    <row r="220">
      <c r="A220" s="2" t="s">
        <v>1002</v>
      </c>
      <c r="B220" s="2" t="s">
        <v>1003</v>
      </c>
      <c r="C220" s="2" t="s">
        <v>14</v>
      </c>
      <c r="D220" s="2" t="s">
        <v>15</v>
      </c>
      <c r="E220" s="2" t="s">
        <v>23</v>
      </c>
      <c r="F220" s="3">
        <f>+5493874503768</f>
        <v>5493874503768</v>
      </c>
      <c r="G220" s="2" t="s">
        <v>1004</v>
      </c>
      <c r="H220" s="2" t="s">
        <v>725</v>
      </c>
      <c r="I220" s="2" t="s">
        <v>725</v>
      </c>
      <c r="J220" s="2" t="s">
        <v>1005</v>
      </c>
      <c r="K220" s="4">
        <v>46142.0</v>
      </c>
      <c r="L220" s="2" t="s">
        <v>1006</v>
      </c>
    </row>
    <row r="221">
      <c r="A221" s="2" t="s">
        <v>1007</v>
      </c>
      <c r="B221" s="2" t="s">
        <v>1008</v>
      </c>
      <c r="C221" s="2" t="s">
        <v>14</v>
      </c>
      <c r="D221" s="2" t="s">
        <v>15</v>
      </c>
      <c r="E221" s="2" t="s">
        <v>23</v>
      </c>
      <c r="F221" s="3">
        <f>+5491149170329</f>
        <v>5491149170329</v>
      </c>
      <c r="G221" s="2" t="s">
        <v>1009</v>
      </c>
      <c r="H221" s="2" t="s">
        <v>32</v>
      </c>
      <c r="I221" s="2" t="s">
        <v>25</v>
      </c>
      <c r="J221" s="2" t="s">
        <v>213</v>
      </c>
      <c r="K221" s="4">
        <v>46142.0</v>
      </c>
      <c r="L221" s="2" t="s">
        <v>1010</v>
      </c>
    </row>
    <row r="222">
      <c r="A222" s="2" t="s">
        <v>1011</v>
      </c>
      <c r="B222" s="2" t="s">
        <v>1012</v>
      </c>
      <c r="C222" s="2" t="s">
        <v>14</v>
      </c>
      <c r="D222" s="2" t="s">
        <v>15</v>
      </c>
      <c r="E222" s="2" t="s">
        <v>23</v>
      </c>
      <c r="F222" s="3">
        <f>+5492615562558</f>
        <v>5492615562558</v>
      </c>
      <c r="G222" s="2" t="s">
        <v>1013</v>
      </c>
      <c r="H222" s="2" t="s">
        <v>71</v>
      </c>
      <c r="I222" s="2" t="s">
        <v>71</v>
      </c>
      <c r="J222" s="2" t="s">
        <v>1014</v>
      </c>
      <c r="K222" s="4">
        <v>46142.0</v>
      </c>
      <c r="L222" s="2" t="s">
        <v>1015</v>
      </c>
    </row>
    <row r="223">
      <c r="A223" s="2" t="s">
        <v>1016</v>
      </c>
      <c r="B223" s="2" t="s">
        <v>1017</v>
      </c>
      <c r="C223" s="2" t="s">
        <v>14</v>
      </c>
      <c r="D223" s="2" t="s">
        <v>15</v>
      </c>
      <c r="E223" s="2" t="s">
        <v>23</v>
      </c>
      <c r="F223" s="3">
        <f>+5492215427882</f>
        <v>5492215427882</v>
      </c>
      <c r="G223" s="2" t="s">
        <v>1018</v>
      </c>
      <c r="H223" s="2" t="s">
        <v>25</v>
      </c>
      <c r="I223" s="2" t="s">
        <v>44</v>
      </c>
      <c r="J223" s="2" t="s">
        <v>1019</v>
      </c>
      <c r="K223" s="4">
        <v>46142.0</v>
      </c>
      <c r="L223" s="2" t="s">
        <v>1020</v>
      </c>
    </row>
    <row r="224">
      <c r="A224" s="2" t="s">
        <v>1021</v>
      </c>
      <c r="B224" s="2" t="s">
        <v>1022</v>
      </c>
      <c r="C224" s="2" t="s">
        <v>14</v>
      </c>
      <c r="D224" s="2" t="s">
        <v>15</v>
      </c>
      <c r="E224" s="2" t="s">
        <v>23</v>
      </c>
      <c r="F224" s="3">
        <f>+5491126971291</f>
        <v>5491126971291</v>
      </c>
      <c r="G224" s="2" t="s">
        <v>1023</v>
      </c>
      <c r="H224" s="2" t="s">
        <v>25</v>
      </c>
      <c r="I224" s="2" t="s">
        <v>97</v>
      </c>
      <c r="J224" s="2" t="s">
        <v>98</v>
      </c>
      <c r="K224" s="4">
        <v>46142.0</v>
      </c>
      <c r="L224" s="2" t="s">
        <v>1024</v>
      </c>
    </row>
    <row r="225">
      <c r="A225" s="2" t="s">
        <v>1025</v>
      </c>
      <c r="B225" s="2" t="s">
        <v>1026</v>
      </c>
      <c r="C225" s="2" t="s">
        <v>14</v>
      </c>
      <c r="D225" s="2" t="s">
        <v>15</v>
      </c>
      <c r="E225" s="2" t="s">
        <v>23</v>
      </c>
      <c r="F225" s="3">
        <f>+5492612521655</f>
        <v>5492612521655</v>
      </c>
      <c r="G225" s="2" t="s">
        <v>1027</v>
      </c>
      <c r="H225" s="2" t="s">
        <v>71</v>
      </c>
      <c r="I225" s="2" t="s">
        <v>71</v>
      </c>
      <c r="J225" s="2" t="s">
        <v>917</v>
      </c>
      <c r="K225" s="4">
        <v>46142.0</v>
      </c>
      <c r="L225" s="2" t="s">
        <v>1028</v>
      </c>
    </row>
    <row r="226">
      <c r="A226" s="2" t="s">
        <v>1029</v>
      </c>
      <c r="B226" s="2" t="s">
        <v>1030</v>
      </c>
      <c r="C226" s="2" t="s">
        <v>14</v>
      </c>
      <c r="D226" s="2" t="s">
        <v>15</v>
      </c>
      <c r="E226" s="2" t="s">
        <v>23</v>
      </c>
      <c r="F226" s="3">
        <f>+5492616647606</f>
        <v>5492616647606</v>
      </c>
      <c r="G226" s="2" t="s">
        <v>1031</v>
      </c>
      <c r="H226" s="2" t="s">
        <v>71</v>
      </c>
      <c r="I226" s="2" t="s">
        <v>902</v>
      </c>
      <c r="J226" s="2" t="s">
        <v>1032</v>
      </c>
      <c r="K226" s="4">
        <v>46142.0</v>
      </c>
      <c r="L226" s="2" t="s">
        <v>1033</v>
      </c>
    </row>
    <row r="227">
      <c r="A227" s="2" t="s">
        <v>1034</v>
      </c>
      <c r="B227" s="2" t="s">
        <v>1035</v>
      </c>
      <c r="C227" s="2" t="s">
        <v>14</v>
      </c>
      <c r="D227" s="2" t="s">
        <v>15</v>
      </c>
      <c r="E227" s="2" t="s">
        <v>23</v>
      </c>
      <c r="F227" s="3">
        <f>+5493816677128</f>
        <v>5493816677128</v>
      </c>
      <c r="G227" s="2" t="s">
        <v>1036</v>
      </c>
      <c r="H227" s="2" t="s">
        <v>55</v>
      </c>
      <c r="I227" s="2" t="s">
        <v>883</v>
      </c>
      <c r="J227" s="2" t="s">
        <v>1037</v>
      </c>
      <c r="K227" s="4">
        <v>46142.0</v>
      </c>
      <c r="L227" s="2" t="s">
        <v>1038</v>
      </c>
    </row>
    <row r="228">
      <c r="A228" s="2" t="s">
        <v>1039</v>
      </c>
      <c r="B228" s="2" t="s">
        <v>1040</v>
      </c>
      <c r="C228" s="2" t="s">
        <v>14</v>
      </c>
      <c r="D228" s="2" t="s">
        <v>15</v>
      </c>
      <c r="E228" s="2" t="s">
        <v>16</v>
      </c>
      <c r="F228" s="3">
        <f>+5491111111111</f>
        <v>5491111111111</v>
      </c>
      <c r="G228" s="2" t="s">
        <v>1041</v>
      </c>
      <c r="H228" s="2" t="s">
        <v>25</v>
      </c>
      <c r="I228" s="2" t="s">
        <v>44</v>
      </c>
      <c r="J228" s="2" t="s">
        <v>1042</v>
      </c>
      <c r="K228" s="4">
        <v>46142.0</v>
      </c>
      <c r="L228" s="2" t="s">
        <v>1043</v>
      </c>
    </row>
    <row r="229">
      <c r="A229" s="2" t="s">
        <v>1044</v>
      </c>
      <c r="B229" s="2" t="s">
        <v>1045</v>
      </c>
      <c r="C229" s="2" t="s">
        <v>14</v>
      </c>
      <c r="D229" s="2" t="s">
        <v>15</v>
      </c>
      <c r="E229" s="2" t="s">
        <v>23</v>
      </c>
      <c r="F229" s="3">
        <f>+5492235805450</f>
        <v>5492235805450</v>
      </c>
      <c r="G229" s="2" t="s">
        <v>1046</v>
      </c>
      <c r="H229" s="2" t="s">
        <v>25</v>
      </c>
      <c r="I229" s="2" t="s">
        <v>649</v>
      </c>
      <c r="J229" s="2" t="s">
        <v>1047</v>
      </c>
      <c r="K229" s="4">
        <v>46142.0</v>
      </c>
      <c r="L229" s="2" t="s">
        <v>1048</v>
      </c>
    </row>
    <row r="230">
      <c r="A230" s="2" t="s">
        <v>1049</v>
      </c>
      <c r="B230" s="2" t="s">
        <v>1050</v>
      </c>
      <c r="C230" s="2" t="s">
        <v>14</v>
      </c>
      <c r="D230" s="2" t="s">
        <v>15</v>
      </c>
      <c r="E230" s="2" t="s">
        <v>23</v>
      </c>
      <c r="F230" s="3">
        <f>+5491176266172</f>
        <v>5491176266172</v>
      </c>
      <c r="G230" s="2" t="s">
        <v>1051</v>
      </c>
      <c r="H230" s="2" t="s">
        <v>25</v>
      </c>
      <c r="I230" s="2" t="s">
        <v>78</v>
      </c>
      <c r="J230" s="2" t="s">
        <v>78</v>
      </c>
      <c r="K230" s="4">
        <v>46142.0</v>
      </c>
      <c r="L230" s="2" t="s">
        <v>1052</v>
      </c>
    </row>
    <row r="231">
      <c r="A231" s="2" t="s">
        <v>1053</v>
      </c>
      <c r="B231" s="2" t="s">
        <v>1054</v>
      </c>
      <c r="C231" s="2" t="s">
        <v>14</v>
      </c>
      <c r="D231" s="2" t="s">
        <v>15</v>
      </c>
      <c r="E231" s="2" t="s">
        <v>23</v>
      </c>
      <c r="F231" s="3">
        <f>+5493513119264</f>
        <v>5493513119264</v>
      </c>
      <c r="G231" s="2" t="s">
        <v>1055</v>
      </c>
      <c r="H231" s="2" t="s">
        <v>18</v>
      </c>
      <c r="I231" s="2" t="s">
        <v>18</v>
      </c>
      <c r="J231" s="2" t="s">
        <v>1056</v>
      </c>
      <c r="K231" s="4">
        <v>46142.0</v>
      </c>
      <c r="L231" s="2" t="s">
        <v>1057</v>
      </c>
    </row>
    <row r="232">
      <c r="A232" s="2" t="s">
        <v>1058</v>
      </c>
      <c r="B232" s="2" t="s">
        <v>1059</v>
      </c>
      <c r="C232" s="2" t="s">
        <v>14</v>
      </c>
      <c r="D232" s="2" t="s">
        <v>15</v>
      </c>
      <c r="E232" s="2" t="s">
        <v>16</v>
      </c>
      <c r="F232" s="3">
        <f>+5491111111111</f>
        <v>5491111111111</v>
      </c>
      <c r="G232" s="2" t="s">
        <v>1041</v>
      </c>
      <c r="H232" s="2" t="s">
        <v>25</v>
      </c>
      <c r="I232" s="2" t="s">
        <v>44</v>
      </c>
      <c r="J232" s="2" t="s">
        <v>1042</v>
      </c>
      <c r="K232" s="4">
        <v>46142.0</v>
      </c>
      <c r="L232" s="2" t="s">
        <v>1043</v>
      </c>
    </row>
    <row r="233">
      <c r="A233" s="2" t="s">
        <v>1060</v>
      </c>
      <c r="B233" s="2" t="s">
        <v>1061</v>
      </c>
      <c r="C233" s="2" t="s">
        <v>14</v>
      </c>
      <c r="D233" s="2" t="s">
        <v>15</v>
      </c>
      <c r="E233" s="2" t="s">
        <v>23</v>
      </c>
      <c r="F233" s="3">
        <f>+5493816316899</f>
        <v>5493816316899</v>
      </c>
      <c r="G233" s="2" t="s">
        <v>1062</v>
      </c>
      <c r="H233" s="2" t="s">
        <v>55</v>
      </c>
      <c r="I233" s="2" t="s">
        <v>56</v>
      </c>
      <c r="J233" s="2" t="s">
        <v>56</v>
      </c>
      <c r="K233" s="4">
        <v>46142.0</v>
      </c>
      <c r="L233" s="2" t="s">
        <v>1063</v>
      </c>
    </row>
    <row r="234">
      <c r="A234" s="2" t="s">
        <v>1064</v>
      </c>
      <c r="B234" s="2" t="s">
        <v>1065</v>
      </c>
      <c r="C234" s="2" t="s">
        <v>14</v>
      </c>
      <c r="D234" s="2" t="s">
        <v>15</v>
      </c>
      <c r="E234" s="2" t="s">
        <v>23</v>
      </c>
      <c r="F234" s="3">
        <f>+5491132935717</f>
        <v>5491132935717</v>
      </c>
      <c r="G234" s="2" t="s">
        <v>1066</v>
      </c>
      <c r="H234" s="2" t="s">
        <v>25</v>
      </c>
      <c r="I234" s="2" t="s">
        <v>26</v>
      </c>
      <c r="J234" s="2" t="s">
        <v>428</v>
      </c>
      <c r="K234" s="4">
        <v>46142.0</v>
      </c>
      <c r="L234" s="2" t="s">
        <v>1067</v>
      </c>
    </row>
    <row r="235">
      <c r="A235" s="2" t="s">
        <v>1068</v>
      </c>
      <c r="B235" s="2" t="s">
        <v>1069</v>
      </c>
      <c r="C235" s="2" t="s">
        <v>14</v>
      </c>
      <c r="D235" s="2" t="s">
        <v>15</v>
      </c>
      <c r="E235" s="2" t="s">
        <v>23</v>
      </c>
      <c r="F235" s="3">
        <f>+5491125263606</f>
        <v>5491125263606</v>
      </c>
      <c r="G235" s="2" t="s">
        <v>1070</v>
      </c>
      <c r="H235" s="2" t="s">
        <v>25</v>
      </c>
      <c r="I235" s="2" t="s">
        <v>49</v>
      </c>
      <c r="J235" s="2" t="s">
        <v>49</v>
      </c>
      <c r="K235" s="4">
        <v>46142.0</v>
      </c>
      <c r="L235" s="2" t="s">
        <v>1071</v>
      </c>
    </row>
    <row r="236">
      <c r="A236" s="2" t="s">
        <v>1072</v>
      </c>
      <c r="B236" s="2" t="s">
        <v>1073</v>
      </c>
      <c r="C236" s="2" t="s">
        <v>14</v>
      </c>
      <c r="D236" s="2" t="s">
        <v>15</v>
      </c>
      <c r="E236" s="2" t="s">
        <v>23</v>
      </c>
      <c r="F236" s="3">
        <f>+5491156295618</f>
        <v>5491156295618</v>
      </c>
      <c r="G236" s="2" t="s">
        <v>1074</v>
      </c>
      <c r="H236" s="2" t="s">
        <v>25</v>
      </c>
      <c r="I236" s="2" t="s">
        <v>314</v>
      </c>
      <c r="J236" s="2" t="s">
        <v>1075</v>
      </c>
      <c r="K236" s="4">
        <v>46142.0</v>
      </c>
      <c r="L236" s="2" t="s">
        <v>1076</v>
      </c>
    </row>
    <row r="237">
      <c r="A237" s="2" t="s">
        <v>1077</v>
      </c>
      <c r="B237" s="2" t="s">
        <v>1078</v>
      </c>
      <c r="C237" s="2" t="s">
        <v>14</v>
      </c>
      <c r="D237" s="2" t="s">
        <v>15</v>
      </c>
      <c r="E237" s="2" t="s">
        <v>23</v>
      </c>
      <c r="F237" s="3">
        <f>+5491164211358</f>
        <v>5491164211358</v>
      </c>
      <c r="G237" s="2" t="s">
        <v>1079</v>
      </c>
      <c r="H237" s="2" t="s">
        <v>32</v>
      </c>
      <c r="I237" s="2" t="s">
        <v>25</v>
      </c>
      <c r="J237" s="2" t="s">
        <v>1080</v>
      </c>
      <c r="K237" s="4">
        <v>46142.0</v>
      </c>
      <c r="L237" s="2" t="s">
        <v>1081</v>
      </c>
    </row>
    <row r="238">
      <c r="A238" s="2" t="s">
        <v>1082</v>
      </c>
      <c r="B238" s="2" t="s">
        <v>1083</v>
      </c>
      <c r="C238" s="2" t="s">
        <v>14</v>
      </c>
      <c r="D238" s="2" t="s">
        <v>15</v>
      </c>
      <c r="E238" s="2" t="s">
        <v>16</v>
      </c>
      <c r="F238" s="3">
        <f>+5491169717700</f>
        <v>5491169717700</v>
      </c>
      <c r="G238" s="2" t="s">
        <v>1084</v>
      </c>
      <c r="H238" s="2" t="s">
        <v>25</v>
      </c>
      <c r="I238" s="2" t="s">
        <v>236</v>
      </c>
      <c r="J238" s="2" t="s">
        <v>236</v>
      </c>
      <c r="K238" s="4">
        <v>46142.0</v>
      </c>
      <c r="L238" s="2" t="s">
        <v>1085</v>
      </c>
    </row>
    <row r="239">
      <c r="A239" s="2" t="s">
        <v>1086</v>
      </c>
      <c r="B239" s="2" t="s">
        <v>1087</v>
      </c>
      <c r="C239" s="2" t="s">
        <v>14</v>
      </c>
      <c r="D239" s="2" t="s">
        <v>15</v>
      </c>
      <c r="E239" s="2" t="s">
        <v>23</v>
      </c>
      <c r="F239" s="3">
        <f>+5491139462775</f>
        <v>5491139462775</v>
      </c>
      <c r="G239" s="2" t="s">
        <v>1088</v>
      </c>
      <c r="H239" s="2" t="s">
        <v>32</v>
      </c>
      <c r="I239" s="2" t="s">
        <v>25</v>
      </c>
      <c r="J239" s="2" t="s">
        <v>33</v>
      </c>
      <c r="K239" s="4">
        <v>46142.0</v>
      </c>
      <c r="L239" s="2" t="s">
        <v>1089</v>
      </c>
    </row>
    <row r="240">
      <c r="A240" s="2" t="s">
        <v>1090</v>
      </c>
      <c r="B240" s="2" t="s">
        <v>1091</v>
      </c>
      <c r="C240" s="2" t="s">
        <v>14</v>
      </c>
      <c r="D240" s="2" t="s">
        <v>15</v>
      </c>
      <c r="E240" s="2" t="s">
        <v>23</v>
      </c>
      <c r="F240" s="3">
        <f>+5493492668850</f>
        <v>5493492668850</v>
      </c>
      <c r="G240" s="2" t="s">
        <v>1092</v>
      </c>
      <c r="H240" s="2" t="s">
        <v>65</v>
      </c>
      <c r="I240" s="2" t="s">
        <v>1000</v>
      </c>
      <c r="J240" s="2" t="s">
        <v>1000</v>
      </c>
      <c r="K240" s="4">
        <v>46142.0</v>
      </c>
      <c r="L240" s="2" t="s">
        <v>1093</v>
      </c>
    </row>
    <row r="241">
      <c r="A241" s="2" t="s">
        <v>1094</v>
      </c>
      <c r="B241" s="2" t="s">
        <v>1095</v>
      </c>
      <c r="C241" s="2" t="s">
        <v>14</v>
      </c>
      <c r="D241" s="2" t="s">
        <v>15</v>
      </c>
      <c r="E241" s="2" t="s">
        <v>23</v>
      </c>
      <c r="F241" s="3">
        <f>+5492617104990</f>
        <v>5492617104990</v>
      </c>
      <c r="G241" s="2" t="s">
        <v>1096</v>
      </c>
      <c r="H241" s="2" t="s">
        <v>71</v>
      </c>
      <c r="I241" s="2" t="s">
        <v>902</v>
      </c>
      <c r="J241" s="2" t="s">
        <v>989</v>
      </c>
      <c r="K241" s="4">
        <v>46142.0</v>
      </c>
      <c r="L241" s="2" t="s">
        <v>1097</v>
      </c>
    </row>
    <row r="242">
      <c r="A242" s="2" t="s">
        <v>1098</v>
      </c>
      <c r="B242" s="2" t="s">
        <v>1099</v>
      </c>
      <c r="C242" s="2" t="s">
        <v>14</v>
      </c>
      <c r="D242" s="2" t="s">
        <v>15</v>
      </c>
      <c r="E242" s="2" t="s">
        <v>23</v>
      </c>
      <c r="F242" s="3">
        <f>+5492216929874</f>
        <v>5492216929874</v>
      </c>
      <c r="G242" s="2" t="s">
        <v>1100</v>
      </c>
      <c r="H242" s="2" t="s">
        <v>25</v>
      </c>
      <c r="I242" s="2" t="s">
        <v>44</v>
      </c>
      <c r="J242" s="2" t="s">
        <v>44</v>
      </c>
      <c r="K242" s="4">
        <v>46142.0</v>
      </c>
      <c r="L242" s="2" t="s">
        <v>1101</v>
      </c>
    </row>
    <row r="243">
      <c r="A243" s="2" t="s">
        <v>1102</v>
      </c>
      <c r="B243" s="2" t="s">
        <v>1103</v>
      </c>
      <c r="C243" s="2" t="s">
        <v>14</v>
      </c>
      <c r="D243" s="2" t="s">
        <v>15</v>
      </c>
      <c r="E243" s="2" t="s">
        <v>23</v>
      </c>
      <c r="F243" s="3">
        <f>+5491134763806</f>
        <v>5491134763806</v>
      </c>
      <c r="G243" s="2" t="s">
        <v>1104</v>
      </c>
      <c r="H243" s="2" t="s">
        <v>32</v>
      </c>
      <c r="I243" s="2" t="s">
        <v>25</v>
      </c>
      <c r="J243" s="2" t="s">
        <v>1037</v>
      </c>
      <c r="K243" s="4">
        <v>46142.0</v>
      </c>
      <c r="L243" s="2" t="s">
        <v>1105</v>
      </c>
    </row>
    <row r="244">
      <c r="A244" s="2" t="s">
        <v>1106</v>
      </c>
      <c r="B244" s="2" t="s">
        <v>1107</v>
      </c>
      <c r="C244" s="2" t="s">
        <v>14</v>
      </c>
      <c r="D244" s="2" t="s">
        <v>15</v>
      </c>
      <c r="E244" s="2" t="s">
        <v>23</v>
      </c>
      <c r="F244" s="3">
        <f>+5492494492424</f>
        <v>5492494492424</v>
      </c>
      <c r="G244" s="2" t="s">
        <v>1108</v>
      </c>
      <c r="H244" s="2" t="s">
        <v>55</v>
      </c>
      <c r="I244" s="2" t="s">
        <v>56</v>
      </c>
      <c r="J244" s="2" t="s">
        <v>56</v>
      </c>
      <c r="K244" s="4">
        <v>46142.0</v>
      </c>
      <c r="L244" s="2" t="s">
        <v>1109</v>
      </c>
    </row>
    <row r="245">
      <c r="A245" s="2" t="s">
        <v>1110</v>
      </c>
      <c r="B245" s="2" t="s">
        <v>1111</v>
      </c>
      <c r="C245" s="2" t="s">
        <v>14</v>
      </c>
      <c r="D245" s="2" t="s">
        <v>15</v>
      </c>
      <c r="E245" s="2" t="s">
        <v>23</v>
      </c>
      <c r="F245" s="3">
        <f>+5491176448191</f>
        <v>5491176448191</v>
      </c>
      <c r="G245" s="2" t="s">
        <v>1112</v>
      </c>
      <c r="H245" s="2" t="s">
        <v>25</v>
      </c>
      <c r="I245" s="2" t="s">
        <v>550</v>
      </c>
      <c r="J245" s="2" t="s">
        <v>1113</v>
      </c>
      <c r="K245" s="4">
        <v>46142.0</v>
      </c>
      <c r="L245" s="2" t="s">
        <v>1114</v>
      </c>
    </row>
    <row r="246">
      <c r="A246" s="2" t="s">
        <v>1115</v>
      </c>
      <c r="B246" s="2" t="s">
        <v>1116</v>
      </c>
      <c r="C246" s="2" t="s">
        <v>14</v>
      </c>
      <c r="D246" s="2" t="s">
        <v>15</v>
      </c>
      <c r="E246" s="2" t="s">
        <v>16</v>
      </c>
      <c r="F246" s="3">
        <f>+5492214204339</f>
        <v>5492214204339</v>
      </c>
      <c r="G246" s="2" t="s">
        <v>1117</v>
      </c>
      <c r="H246" s="2" t="s">
        <v>25</v>
      </c>
      <c r="I246" s="2" t="s">
        <v>44</v>
      </c>
      <c r="J246" s="2" t="s">
        <v>44</v>
      </c>
      <c r="K246" s="4">
        <v>46142.0</v>
      </c>
      <c r="L246" s="2" t="s">
        <v>1118</v>
      </c>
    </row>
    <row r="247">
      <c r="A247" s="2" t="s">
        <v>1119</v>
      </c>
      <c r="B247" s="2" t="s">
        <v>1120</v>
      </c>
      <c r="C247" s="2" t="s">
        <v>14</v>
      </c>
      <c r="D247" s="2" t="s">
        <v>15</v>
      </c>
      <c r="E247" s="2" t="s">
        <v>16</v>
      </c>
      <c r="F247" s="3">
        <f>+5492617053532</f>
        <v>5492617053532</v>
      </c>
      <c r="G247" s="2" t="s">
        <v>901</v>
      </c>
      <c r="H247" s="2" t="s">
        <v>71</v>
      </c>
      <c r="I247" s="2" t="s">
        <v>902</v>
      </c>
      <c r="J247" s="2" t="s">
        <v>903</v>
      </c>
      <c r="K247" s="4">
        <v>46142.0</v>
      </c>
      <c r="L247" s="2" t="s">
        <v>1121</v>
      </c>
    </row>
    <row r="248">
      <c r="A248" s="2" t="s">
        <v>1122</v>
      </c>
      <c r="B248" s="2" t="s">
        <v>1123</v>
      </c>
      <c r="C248" s="2" t="s">
        <v>14</v>
      </c>
      <c r="D248" s="2" t="s">
        <v>15</v>
      </c>
      <c r="E248" s="2" t="s">
        <v>16</v>
      </c>
      <c r="F248" s="3">
        <f>+5491144479802</f>
        <v>5491144479802</v>
      </c>
      <c r="G248" s="2" t="s">
        <v>1124</v>
      </c>
      <c r="H248" s="2" t="s">
        <v>32</v>
      </c>
      <c r="I248" s="2" t="s">
        <v>25</v>
      </c>
      <c r="J248" s="2" t="s">
        <v>734</v>
      </c>
      <c r="K248" s="4">
        <v>46142.0</v>
      </c>
      <c r="L248" s="2" t="s">
        <v>1125</v>
      </c>
    </row>
    <row r="249">
      <c r="A249" s="2" t="s">
        <v>1126</v>
      </c>
      <c r="B249" s="2" t="s">
        <v>1127</v>
      </c>
      <c r="C249" s="2" t="s">
        <v>14</v>
      </c>
      <c r="D249" s="2" t="s">
        <v>15</v>
      </c>
      <c r="E249" s="2" t="s">
        <v>23</v>
      </c>
      <c r="F249" s="3">
        <f>+543512254586</f>
        <v>543512254586</v>
      </c>
      <c r="G249" s="2" t="s">
        <v>1128</v>
      </c>
      <c r="H249" s="2" t="s">
        <v>18</v>
      </c>
      <c r="I249" s="2" t="s">
        <v>18</v>
      </c>
      <c r="J249" s="2" t="s">
        <v>1129</v>
      </c>
      <c r="K249" s="4">
        <v>46142.0</v>
      </c>
      <c r="L249" s="2" t="s">
        <v>1130</v>
      </c>
    </row>
    <row r="250">
      <c r="A250" s="2" t="s">
        <v>1131</v>
      </c>
      <c r="B250" s="2" t="s">
        <v>1132</v>
      </c>
      <c r="C250" s="2" t="s">
        <v>14</v>
      </c>
      <c r="D250" s="2" t="s">
        <v>15</v>
      </c>
      <c r="E250" s="2" t="s">
        <v>16</v>
      </c>
      <c r="F250" s="3">
        <f>+5491169717700</f>
        <v>5491169717700</v>
      </c>
      <c r="G250" s="2" t="s">
        <v>1084</v>
      </c>
      <c r="H250" s="2" t="s">
        <v>25</v>
      </c>
      <c r="I250" s="2" t="s">
        <v>236</v>
      </c>
      <c r="J250" s="2" t="s">
        <v>236</v>
      </c>
      <c r="K250" s="4">
        <v>46142.0</v>
      </c>
      <c r="L250" s="2" t="s">
        <v>1085</v>
      </c>
    </row>
    <row r="251">
      <c r="A251" s="2" t="s">
        <v>1133</v>
      </c>
      <c r="B251" s="2" t="s">
        <v>1134</v>
      </c>
      <c r="C251" s="2" t="s">
        <v>14</v>
      </c>
      <c r="D251" s="2" t="s">
        <v>15</v>
      </c>
      <c r="E251" s="2" t="s">
        <v>16</v>
      </c>
      <c r="F251" s="3">
        <f>+5491169821514</f>
        <v>5491169821514</v>
      </c>
      <c r="G251" s="2" t="s">
        <v>1135</v>
      </c>
      <c r="H251" s="2" t="s">
        <v>25</v>
      </c>
      <c r="I251" s="2" t="s">
        <v>246</v>
      </c>
      <c r="J251" s="2" t="s">
        <v>1136</v>
      </c>
      <c r="K251" s="4">
        <v>46142.0</v>
      </c>
      <c r="L251" s="2" t="s">
        <v>1137</v>
      </c>
    </row>
    <row r="252">
      <c r="A252" s="2" t="s">
        <v>1138</v>
      </c>
      <c r="B252" s="2" t="s">
        <v>1139</v>
      </c>
      <c r="C252" s="2" t="s">
        <v>14</v>
      </c>
      <c r="D252" s="2" t="s">
        <v>15</v>
      </c>
      <c r="E252" s="2" t="s">
        <v>16</v>
      </c>
      <c r="F252" s="3">
        <f>+5491111111111</f>
        <v>5491111111111</v>
      </c>
      <c r="G252" s="2" t="s">
        <v>1041</v>
      </c>
      <c r="H252" s="2" t="s">
        <v>25</v>
      </c>
      <c r="I252" s="2" t="s">
        <v>44</v>
      </c>
      <c r="J252" s="2" t="s">
        <v>1042</v>
      </c>
      <c r="K252" s="4">
        <v>46142.0</v>
      </c>
      <c r="L252" s="2" t="s">
        <v>1043</v>
      </c>
    </row>
    <row r="253">
      <c r="A253" s="2" t="s">
        <v>1140</v>
      </c>
      <c r="B253" s="2" t="s">
        <v>1141</v>
      </c>
      <c r="C253" s="2" t="s">
        <v>14</v>
      </c>
      <c r="D253" s="2" t="s">
        <v>15</v>
      </c>
      <c r="E253" s="2" t="s">
        <v>23</v>
      </c>
      <c r="F253" s="3">
        <f>+542966571535</f>
        <v>542966571535</v>
      </c>
      <c r="G253" s="2" t="s">
        <v>1142</v>
      </c>
      <c r="H253" s="2" t="s">
        <v>25</v>
      </c>
      <c r="I253" s="2" t="s">
        <v>49</v>
      </c>
      <c r="J253" s="2" t="s">
        <v>49</v>
      </c>
      <c r="K253" s="4">
        <v>46142.0</v>
      </c>
      <c r="L253" s="2" t="s">
        <v>1143</v>
      </c>
    </row>
    <row r="254">
      <c r="A254" s="2" t="s">
        <v>1144</v>
      </c>
      <c r="B254" s="2" t="s">
        <v>1145</v>
      </c>
      <c r="C254" s="2" t="s">
        <v>14</v>
      </c>
      <c r="D254" s="2" t="s">
        <v>15</v>
      </c>
      <c r="E254" s="2" t="s">
        <v>16</v>
      </c>
      <c r="F254" s="3">
        <f>+541121774860</f>
        <v>541121774860</v>
      </c>
      <c r="G254" s="2" t="s">
        <v>1146</v>
      </c>
      <c r="H254" s="2" t="s">
        <v>25</v>
      </c>
      <c r="I254" s="2" t="s">
        <v>118</v>
      </c>
      <c r="J254" s="2" t="s">
        <v>124</v>
      </c>
      <c r="K254" s="4">
        <v>46142.0</v>
      </c>
      <c r="L254" s="2" t="s">
        <v>1147</v>
      </c>
    </row>
    <row r="255">
      <c r="A255" s="2" t="s">
        <v>1148</v>
      </c>
      <c r="B255" s="2" t="s">
        <v>1149</v>
      </c>
      <c r="C255" s="2" t="s">
        <v>1150</v>
      </c>
      <c r="D255" s="2" t="s">
        <v>15</v>
      </c>
      <c r="E255" s="2" t="s">
        <v>23</v>
      </c>
      <c r="F255" s="3">
        <f>+5491160271443</f>
        <v>5491160271443</v>
      </c>
      <c r="G255" s="2" t="s">
        <v>1151</v>
      </c>
      <c r="H255" s="2" t="s">
        <v>25</v>
      </c>
      <c r="I255" s="2" t="s">
        <v>764</v>
      </c>
      <c r="J255" s="2" t="s">
        <v>765</v>
      </c>
      <c r="K255" s="4">
        <v>46142.0</v>
      </c>
      <c r="L255" s="2" t="s">
        <v>1152</v>
      </c>
    </row>
    <row r="256">
      <c r="A256" s="2" t="s">
        <v>1153</v>
      </c>
      <c r="B256" s="2" t="s">
        <v>1154</v>
      </c>
      <c r="C256" s="2" t="s">
        <v>14</v>
      </c>
      <c r="D256" s="2" t="s">
        <v>15</v>
      </c>
      <c r="E256" s="2" t="s">
        <v>23</v>
      </c>
      <c r="F256" s="3">
        <f>+54902615650374</f>
        <v>54902615650374</v>
      </c>
      <c r="G256" s="2" t="s">
        <v>1155</v>
      </c>
      <c r="H256" s="2" t="s">
        <v>71</v>
      </c>
      <c r="I256" s="2" t="s">
        <v>1156</v>
      </c>
      <c r="J256" s="2" t="s">
        <v>1157</v>
      </c>
      <c r="K256" s="4">
        <v>46142.0</v>
      </c>
      <c r="L256" s="2" t="s">
        <v>1158</v>
      </c>
    </row>
    <row r="257">
      <c r="A257" s="2" t="s">
        <v>1159</v>
      </c>
      <c r="B257" s="2" t="s">
        <v>1160</v>
      </c>
      <c r="C257" s="2" t="s">
        <v>14</v>
      </c>
      <c r="D257" s="2" t="s">
        <v>15</v>
      </c>
      <c r="E257" s="2" t="s">
        <v>23</v>
      </c>
      <c r="F257" s="3">
        <f>+5493492668850</f>
        <v>5493492668850</v>
      </c>
      <c r="G257" s="2" t="s">
        <v>1161</v>
      </c>
      <c r="H257" s="2" t="s">
        <v>65</v>
      </c>
      <c r="I257" s="2" t="s">
        <v>1000</v>
      </c>
      <c r="J257" s="2" t="s">
        <v>1000</v>
      </c>
      <c r="K257" s="4">
        <v>46142.0</v>
      </c>
      <c r="L257" s="2" t="s">
        <v>1162</v>
      </c>
    </row>
    <row r="258">
      <c r="A258" s="2" t="s">
        <v>1163</v>
      </c>
      <c r="B258" s="2" t="s">
        <v>1164</v>
      </c>
      <c r="C258" s="2" t="s">
        <v>14</v>
      </c>
      <c r="D258" s="2" t="s">
        <v>15</v>
      </c>
      <c r="E258" s="2" t="s">
        <v>23</v>
      </c>
      <c r="F258" s="3">
        <f>+5493412139765</f>
        <v>5493412139765</v>
      </c>
      <c r="G258" s="2" t="s">
        <v>1165</v>
      </c>
      <c r="H258" s="2" t="s">
        <v>65</v>
      </c>
      <c r="I258" s="2" t="s">
        <v>218</v>
      </c>
      <c r="J258" s="2" t="s">
        <v>252</v>
      </c>
      <c r="K258" s="4">
        <v>46142.0</v>
      </c>
      <c r="L258" s="2" t="s">
        <v>1166</v>
      </c>
    </row>
    <row r="259">
      <c r="A259" s="2" t="s">
        <v>1167</v>
      </c>
      <c r="B259" s="2" t="s">
        <v>1168</v>
      </c>
      <c r="C259" s="2" t="s">
        <v>14</v>
      </c>
      <c r="D259" s="2" t="s">
        <v>15</v>
      </c>
      <c r="E259" s="2" t="s">
        <v>23</v>
      </c>
      <c r="F259" s="3">
        <f>+5493492668850</f>
        <v>5493492668850</v>
      </c>
      <c r="G259" s="2" t="s">
        <v>1169</v>
      </c>
      <c r="H259" s="2" t="s">
        <v>65</v>
      </c>
      <c r="I259" s="2" t="s">
        <v>1000</v>
      </c>
      <c r="J259" s="2" t="s">
        <v>1000</v>
      </c>
      <c r="K259" s="4">
        <v>46142.0</v>
      </c>
      <c r="L259" s="2" t="s">
        <v>1170</v>
      </c>
    </row>
    <row r="260">
      <c r="A260" s="2" t="s">
        <v>1171</v>
      </c>
      <c r="B260" s="2" t="s">
        <v>1172</v>
      </c>
      <c r="C260" s="2" t="s">
        <v>1150</v>
      </c>
      <c r="D260" s="2" t="s">
        <v>15</v>
      </c>
      <c r="E260" s="2" t="s">
        <v>23</v>
      </c>
      <c r="F260" s="3">
        <f>+5492235353890</f>
        <v>5492235353890</v>
      </c>
      <c r="G260" s="2" t="s">
        <v>1173</v>
      </c>
      <c r="H260" s="2" t="s">
        <v>25</v>
      </c>
      <c r="I260" s="2" t="s">
        <v>649</v>
      </c>
      <c r="J260" s="2" t="s">
        <v>1174</v>
      </c>
      <c r="K260" s="4">
        <v>46142.0</v>
      </c>
      <c r="L260" s="2" t="s">
        <v>1175</v>
      </c>
    </row>
    <row r="261">
      <c r="A261" s="2" t="s">
        <v>1176</v>
      </c>
      <c r="B261" s="2" t="s">
        <v>1177</v>
      </c>
      <c r="C261" s="2" t="s">
        <v>14</v>
      </c>
      <c r="D261" s="2" t="s">
        <v>15</v>
      </c>
      <c r="E261" s="2" t="s">
        <v>23</v>
      </c>
      <c r="F261" s="3">
        <f>+5491130170771</f>
        <v>5491130170771</v>
      </c>
      <c r="G261" s="2" t="s">
        <v>1178</v>
      </c>
      <c r="H261" s="2" t="s">
        <v>25</v>
      </c>
      <c r="I261" s="2" t="s">
        <v>357</v>
      </c>
      <c r="J261" s="2" t="s">
        <v>1179</v>
      </c>
      <c r="K261" s="4">
        <v>46142.0</v>
      </c>
      <c r="L261" s="2" t="s">
        <v>1180</v>
      </c>
    </row>
    <row r="262">
      <c r="A262" s="2" t="s">
        <v>1181</v>
      </c>
      <c r="B262" s="2" t="s">
        <v>1182</v>
      </c>
      <c r="C262" s="2" t="s">
        <v>14</v>
      </c>
      <c r="D262" s="2" t="s">
        <v>15</v>
      </c>
      <c r="E262" s="2" t="s">
        <v>23</v>
      </c>
      <c r="F262" s="3">
        <f>+5491146373672</f>
        <v>5491146373672</v>
      </c>
      <c r="G262" s="2" t="s">
        <v>1183</v>
      </c>
      <c r="H262" s="2" t="s">
        <v>32</v>
      </c>
      <c r="I262" s="2" t="s">
        <v>25</v>
      </c>
      <c r="J262" s="2" t="s">
        <v>373</v>
      </c>
      <c r="K262" s="4">
        <v>46142.0</v>
      </c>
      <c r="L262" s="2" t="s">
        <v>1184</v>
      </c>
    </row>
    <row r="263">
      <c r="A263" s="2" t="s">
        <v>1185</v>
      </c>
      <c r="B263" s="2" t="s">
        <v>1186</v>
      </c>
      <c r="C263" s="2" t="s">
        <v>14</v>
      </c>
      <c r="D263" s="2" t="s">
        <v>15</v>
      </c>
      <c r="E263" s="2" t="s">
        <v>23</v>
      </c>
      <c r="F263" s="3">
        <f>+5491154985645</f>
        <v>5491154985645</v>
      </c>
      <c r="G263" s="2" t="s">
        <v>1187</v>
      </c>
      <c r="H263" s="2" t="s">
        <v>32</v>
      </c>
      <c r="I263" s="2" t="s">
        <v>25</v>
      </c>
      <c r="J263" s="2" t="s">
        <v>594</v>
      </c>
      <c r="K263" s="4">
        <v>46142.0</v>
      </c>
      <c r="L263" s="2" t="s">
        <v>1188</v>
      </c>
    </row>
    <row r="264">
      <c r="A264" s="2" t="s">
        <v>1189</v>
      </c>
      <c r="B264" s="2" t="s">
        <v>1190</v>
      </c>
      <c r="C264" s="2" t="s">
        <v>14</v>
      </c>
      <c r="D264" s="2" t="s">
        <v>15</v>
      </c>
      <c r="E264" s="2" t="s">
        <v>23</v>
      </c>
      <c r="F264" s="3">
        <f>+5491137018005</f>
        <v>5491137018005</v>
      </c>
      <c r="G264" s="2" t="s">
        <v>1191</v>
      </c>
      <c r="H264" s="2" t="s">
        <v>25</v>
      </c>
      <c r="I264" s="2" t="s">
        <v>49</v>
      </c>
      <c r="J264" s="2" t="s">
        <v>418</v>
      </c>
      <c r="K264" s="4">
        <v>46142.0</v>
      </c>
      <c r="L264" s="2" t="s">
        <v>1192</v>
      </c>
    </row>
    <row r="265">
      <c r="A265" s="2" t="s">
        <v>1193</v>
      </c>
      <c r="B265" s="2" t="s">
        <v>1194</v>
      </c>
      <c r="C265" s="2" t="s">
        <v>14</v>
      </c>
      <c r="D265" s="2" t="s">
        <v>15</v>
      </c>
      <c r="E265" s="2" t="s">
        <v>23</v>
      </c>
      <c r="F265" s="3">
        <f>+5491167642706</f>
        <v>5491167642706</v>
      </c>
      <c r="G265" s="2" t="s">
        <v>1195</v>
      </c>
      <c r="H265" s="2" t="s">
        <v>32</v>
      </c>
      <c r="I265" s="2" t="s">
        <v>25</v>
      </c>
      <c r="J265" s="2" t="s">
        <v>213</v>
      </c>
      <c r="K265" s="4">
        <v>46142.0</v>
      </c>
      <c r="L265" s="2" t="s">
        <v>1196</v>
      </c>
    </row>
    <row r="266">
      <c r="A266" s="2" t="s">
        <v>1197</v>
      </c>
      <c r="B266" s="2" t="s">
        <v>1198</v>
      </c>
      <c r="C266" s="2" t="s">
        <v>14</v>
      </c>
      <c r="D266" s="2" t="s">
        <v>15</v>
      </c>
      <c r="E266" s="2" t="s">
        <v>23</v>
      </c>
      <c r="F266" s="3">
        <f>+5491167482894</f>
        <v>5491167482894</v>
      </c>
      <c r="G266" s="2" t="s">
        <v>1199</v>
      </c>
      <c r="H266" s="2" t="s">
        <v>25</v>
      </c>
      <c r="I266" s="2" t="s">
        <v>26</v>
      </c>
      <c r="J266" s="2" t="s">
        <v>1200</v>
      </c>
      <c r="K266" s="4">
        <v>46142.0</v>
      </c>
      <c r="L266" s="2" t="s">
        <v>1201</v>
      </c>
    </row>
    <row r="267">
      <c r="A267" s="2" t="s">
        <v>1202</v>
      </c>
      <c r="B267" s="2" t="s">
        <v>1203</v>
      </c>
      <c r="C267" s="2" t="s">
        <v>14</v>
      </c>
      <c r="D267" s="2" t="s">
        <v>15</v>
      </c>
      <c r="E267" s="2" t="s">
        <v>23</v>
      </c>
      <c r="F267" s="3">
        <f>+5493426128851</f>
        <v>5493426128851</v>
      </c>
      <c r="G267" s="2" t="s">
        <v>1204</v>
      </c>
      <c r="H267" s="2" t="s">
        <v>65</v>
      </c>
      <c r="I267" s="2" t="s">
        <v>218</v>
      </c>
      <c r="J267" s="2" t="s">
        <v>219</v>
      </c>
      <c r="K267" s="4">
        <v>46142.0</v>
      </c>
      <c r="L267" s="2" t="s">
        <v>1205</v>
      </c>
    </row>
    <row r="268">
      <c r="A268" s="2" t="s">
        <v>1206</v>
      </c>
      <c r="B268" s="2" t="s">
        <v>1207</v>
      </c>
      <c r="C268" s="2" t="s">
        <v>14</v>
      </c>
      <c r="D268" s="2" t="s">
        <v>15</v>
      </c>
      <c r="E268" s="2" t="s">
        <v>23</v>
      </c>
      <c r="F268" s="3">
        <f>+54903875823944</f>
        <v>54903875823944</v>
      </c>
      <c r="G268" s="2" t="s">
        <v>1208</v>
      </c>
      <c r="H268" s="2" t="s">
        <v>725</v>
      </c>
      <c r="I268" s="2" t="s">
        <v>725</v>
      </c>
      <c r="J268" s="2" t="s">
        <v>219</v>
      </c>
      <c r="K268" s="4">
        <v>46142.0</v>
      </c>
      <c r="L268" s="2" t="s">
        <v>1209</v>
      </c>
    </row>
    <row r="269">
      <c r="A269" s="2" t="s">
        <v>1210</v>
      </c>
      <c r="B269" s="2" t="s">
        <v>1211</v>
      </c>
      <c r="C269" s="2" t="s">
        <v>14</v>
      </c>
      <c r="D269" s="2" t="s">
        <v>15</v>
      </c>
      <c r="E269" s="2" t="s">
        <v>23</v>
      </c>
      <c r="F269" s="3">
        <f>+5491135942461</f>
        <v>5491135942461</v>
      </c>
      <c r="G269" s="2" t="s">
        <v>1212</v>
      </c>
      <c r="H269" s="2" t="s">
        <v>25</v>
      </c>
      <c r="I269" s="2" t="s">
        <v>764</v>
      </c>
      <c r="J269" s="2" t="s">
        <v>1213</v>
      </c>
      <c r="K269" s="4">
        <v>46142.0</v>
      </c>
      <c r="L269" s="2" t="s">
        <v>1214</v>
      </c>
    </row>
    <row r="270">
      <c r="A270" s="2" t="s">
        <v>1215</v>
      </c>
      <c r="B270" s="2" t="s">
        <v>1216</v>
      </c>
      <c r="C270" s="2" t="s">
        <v>14</v>
      </c>
      <c r="D270" s="2" t="s">
        <v>15</v>
      </c>
      <c r="E270" s="2" t="s">
        <v>23</v>
      </c>
      <c r="F270" s="3">
        <f>+5491176266172</f>
        <v>5491176266172</v>
      </c>
      <c r="G270" s="2" t="s">
        <v>1051</v>
      </c>
      <c r="H270" s="2" t="s">
        <v>25</v>
      </c>
      <c r="I270" s="2" t="s">
        <v>78</v>
      </c>
      <c r="J270" s="2" t="s">
        <v>78</v>
      </c>
      <c r="K270" s="4">
        <v>46142.0</v>
      </c>
      <c r="L270" s="2" t="s">
        <v>1052</v>
      </c>
    </row>
    <row r="271">
      <c r="A271" s="2" t="s">
        <v>1217</v>
      </c>
      <c r="B271" s="2" t="s">
        <v>1218</v>
      </c>
      <c r="C271" s="2" t="s">
        <v>14</v>
      </c>
      <c r="D271" s="2" t="s">
        <v>15</v>
      </c>
      <c r="E271" s="2" t="s">
        <v>23</v>
      </c>
      <c r="F271" s="3">
        <f>+5491167642706</f>
        <v>5491167642706</v>
      </c>
      <c r="G271" s="2" t="s">
        <v>1219</v>
      </c>
      <c r="H271" s="2" t="s">
        <v>32</v>
      </c>
      <c r="I271" s="2" t="s">
        <v>25</v>
      </c>
      <c r="J271" s="2" t="s">
        <v>143</v>
      </c>
      <c r="K271" s="4">
        <v>46142.0</v>
      </c>
      <c r="L271" s="2" t="s">
        <v>1220</v>
      </c>
    </row>
    <row r="272">
      <c r="A272" s="2" t="s">
        <v>1221</v>
      </c>
      <c r="B272" s="2" t="s">
        <v>1222</v>
      </c>
      <c r="C272" s="2" t="s">
        <v>14</v>
      </c>
      <c r="D272" s="2" t="s">
        <v>15</v>
      </c>
      <c r="E272" s="2" t="s">
        <v>23</v>
      </c>
      <c r="F272" s="3">
        <f>+5493492668850</f>
        <v>5493492668850</v>
      </c>
      <c r="G272" s="2" t="s">
        <v>1223</v>
      </c>
      <c r="H272" s="2" t="s">
        <v>65</v>
      </c>
      <c r="I272" s="2" t="s">
        <v>1000</v>
      </c>
      <c r="J272" s="2" t="s">
        <v>1000</v>
      </c>
      <c r="K272" s="4">
        <v>46142.0</v>
      </c>
      <c r="L272" s="2" t="s">
        <v>1224</v>
      </c>
    </row>
    <row r="273">
      <c r="A273" s="2" t="s">
        <v>1225</v>
      </c>
      <c r="B273" s="2" t="s">
        <v>1226</v>
      </c>
      <c r="C273" s="2" t="s">
        <v>14</v>
      </c>
      <c r="D273" s="2" t="s">
        <v>15</v>
      </c>
      <c r="E273" s="2" t="s">
        <v>23</v>
      </c>
      <c r="F273" s="3">
        <f>+543515631013</f>
        <v>543515631013</v>
      </c>
      <c r="G273" s="2" t="s">
        <v>1227</v>
      </c>
      <c r="H273" s="2" t="s">
        <v>18</v>
      </c>
      <c r="I273" s="2" t="s">
        <v>18</v>
      </c>
      <c r="J273" s="2" t="s">
        <v>1228</v>
      </c>
      <c r="K273" s="4">
        <v>46142.0</v>
      </c>
      <c r="L273" s="2" t="s">
        <v>1229</v>
      </c>
    </row>
    <row r="274">
      <c r="A274" s="2" t="s">
        <v>1230</v>
      </c>
      <c r="B274" s="2" t="s">
        <v>1231</v>
      </c>
      <c r="C274" s="2" t="s">
        <v>14</v>
      </c>
      <c r="D274" s="2" t="s">
        <v>15</v>
      </c>
      <c r="E274" s="2" t="s">
        <v>23</v>
      </c>
      <c r="F274" s="3">
        <f>+5491167642706</f>
        <v>5491167642706</v>
      </c>
      <c r="G274" s="2" t="s">
        <v>1232</v>
      </c>
      <c r="H274" s="2" t="s">
        <v>32</v>
      </c>
      <c r="I274" s="2" t="s">
        <v>25</v>
      </c>
      <c r="J274" s="2" t="s">
        <v>759</v>
      </c>
      <c r="K274" s="4">
        <v>46142.0</v>
      </c>
      <c r="L274" s="2" t="s">
        <v>1233</v>
      </c>
    </row>
    <row r="275">
      <c r="A275" s="2" t="s">
        <v>1234</v>
      </c>
      <c r="B275" s="2" t="s">
        <v>1235</v>
      </c>
      <c r="C275" s="2" t="s">
        <v>14</v>
      </c>
      <c r="D275" s="2" t="s">
        <v>15</v>
      </c>
      <c r="E275" s="2" t="s">
        <v>16</v>
      </c>
      <c r="F275" s="3">
        <f>+5491139430964</f>
        <v>5491139430964</v>
      </c>
      <c r="G275" s="2" t="s">
        <v>845</v>
      </c>
      <c r="H275" s="2" t="s">
        <v>32</v>
      </c>
      <c r="I275" s="2" t="s">
        <v>25</v>
      </c>
      <c r="J275" s="2" t="s">
        <v>846</v>
      </c>
      <c r="K275" s="4">
        <v>46142.0</v>
      </c>
      <c r="L275" s="2" t="s">
        <v>847</v>
      </c>
    </row>
    <row r="276">
      <c r="A276" s="2" t="s">
        <v>1236</v>
      </c>
      <c r="B276" s="2" t="s">
        <v>1237</v>
      </c>
      <c r="C276" s="2" t="s">
        <v>14</v>
      </c>
      <c r="D276" s="2" t="s">
        <v>15</v>
      </c>
      <c r="E276" s="2" t="s">
        <v>23</v>
      </c>
      <c r="F276" s="3">
        <f>+5493516569427</f>
        <v>5493516569427</v>
      </c>
      <c r="G276" s="2" t="s">
        <v>1238</v>
      </c>
      <c r="H276" s="2" t="s">
        <v>18</v>
      </c>
      <c r="I276" s="2" t="s">
        <v>18</v>
      </c>
      <c r="J276" s="2" t="s">
        <v>1239</v>
      </c>
      <c r="K276" s="4">
        <v>46142.0</v>
      </c>
      <c r="L276" s="2" t="s">
        <v>1240</v>
      </c>
    </row>
    <row r="277">
      <c r="A277" s="2" t="s">
        <v>1241</v>
      </c>
      <c r="B277" s="2" t="s">
        <v>1242</v>
      </c>
      <c r="C277" s="2" t="s">
        <v>14</v>
      </c>
      <c r="D277" s="2" t="s">
        <v>15</v>
      </c>
      <c r="E277" s="2" t="s">
        <v>23</v>
      </c>
      <c r="F277" s="3">
        <f>+541122763221</f>
        <v>541122763221</v>
      </c>
      <c r="G277" s="2" t="s">
        <v>1243</v>
      </c>
      <c r="H277" s="2" t="s">
        <v>32</v>
      </c>
      <c r="I277" s="2" t="s">
        <v>25</v>
      </c>
      <c r="J277" s="2" t="s">
        <v>759</v>
      </c>
      <c r="K277" s="4">
        <v>46142.0</v>
      </c>
      <c r="L277" s="2" t="s">
        <v>1244</v>
      </c>
    </row>
    <row r="278">
      <c r="A278" s="2" t="s">
        <v>1245</v>
      </c>
      <c r="B278" s="2" t="s">
        <v>1246</v>
      </c>
      <c r="C278" s="2" t="s">
        <v>14</v>
      </c>
      <c r="D278" s="2" t="s">
        <v>15</v>
      </c>
      <c r="E278" s="2" t="s">
        <v>23</v>
      </c>
      <c r="F278" s="3">
        <f>+5491176266172</f>
        <v>5491176266172</v>
      </c>
      <c r="G278" s="2" t="s">
        <v>1051</v>
      </c>
      <c r="H278" s="2" t="s">
        <v>25</v>
      </c>
      <c r="I278" s="2" t="s">
        <v>78</v>
      </c>
      <c r="J278" s="2" t="s">
        <v>78</v>
      </c>
      <c r="K278" s="4">
        <v>46142.0</v>
      </c>
      <c r="L278" s="2" t="s">
        <v>1052</v>
      </c>
    </row>
    <row r="279">
      <c r="A279" s="2" t="s">
        <v>1247</v>
      </c>
      <c r="B279" s="2" t="s">
        <v>1248</v>
      </c>
      <c r="C279" s="2" t="s">
        <v>14</v>
      </c>
      <c r="D279" s="2" t="s">
        <v>15</v>
      </c>
      <c r="E279" s="2" t="s">
        <v>23</v>
      </c>
      <c r="F279" s="3">
        <f>+5491139103747</f>
        <v>5491139103747</v>
      </c>
      <c r="G279" s="2" t="s">
        <v>1249</v>
      </c>
      <c r="H279" s="2" t="s">
        <v>25</v>
      </c>
      <c r="I279" s="2" t="s">
        <v>241</v>
      </c>
      <c r="J279" s="2" t="s">
        <v>241</v>
      </c>
      <c r="K279" s="4">
        <v>46142.0</v>
      </c>
      <c r="L279" s="2" t="s">
        <v>1250</v>
      </c>
    </row>
    <row r="280">
      <c r="A280" s="2" t="s">
        <v>1251</v>
      </c>
      <c r="B280" s="2" t="s">
        <v>1252</v>
      </c>
      <c r="C280" s="2" t="s">
        <v>14</v>
      </c>
      <c r="D280" s="2" t="s">
        <v>15</v>
      </c>
      <c r="E280" s="2" t="s">
        <v>23</v>
      </c>
      <c r="F280" s="3">
        <f>+5491134044910</f>
        <v>5491134044910</v>
      </c>
      <c r="G280" s="2" t="s">
        <v>1253</v>
      </c>
      <c r="H280" s="2" t="s">
        <v>32</v>
      </c>
      <c r="I280" s="2" t="s">
        <v>25</v>
      </c>
      <c r="J280" s="2" t="s">
        <v>433</v>
      </c>
      <c r="K280" s="4">
        <v>46142.0</v>
      </c>
      <c r="L280" s="2" t="s">
        <v>1254</v>
      </c>
    </row>
    <row r="281">
      <c r="A281" s="2" t="s">
        <v>1255</v>
      </c>
      <c r="B281" s="2" t="s">
        <v>1256</v>
      </c>
      <c r="C281" s="2" t="s">
        <v>14</v>
      </c>
      <c r="D281" s="2" t="s">
        <v>15</v>
      </c>
      <c r="E281" s="2" t="s">
        <v>23</v>
      </c>
      <c r="F281" s="3">
        <f>+5493872138908</f>
        <v>5493872138908</v>
      </c>
      <c r="G281" s="2" t="s">
        <v>1257</v>
      </c>
      <c r="H281" s="2" t="s">
        <v>725</v>
      </c>
      <c r="I281" s="2" t="s">
        <v>725</v>
      </c>
      <c r="J281" s="2" t="s">
        <v>1258</v>
      </c>
      <c r="K281" s="4">
        <v>46142.0</v>
      </c>
      <c r="L281" s="2" t="s">
        <v>1259</v>
      </c>
    </row>
    <row r="282">
      <c r="A282" s="2" t="s">
        <v>1260</v>
      </c>
      <c r="B282" s="2" t="s">
        <v>1261</v>
      </c>
      <c r="C282" s="2" t="s">
        <v>14</v>
      </c>
      <c r="D282" s="2" t="s">
        <v>15</v>
      </c>
      <c r="E282" s="2" t="s">
        <v>23</v>
      </c>
      <c r="F282" s="3">
        <f>+5491176540665</f>
        <v>5491176540665</v>
      </c>
      <c r="G282" s="2" t="s">
        <v>1262</v>
      </c>
      <c r="H282" s="2" t="s">
        <v>25</v>
      </c>
      <c r="I282" s="2" t="s">
        <v>957</v>
      </c>
      <c r="J282" s="2" t="s">
        <v>957</v>
      </c>
      <c r="K282" s="4">
        <v>46142.0</v>
      </c>
      <c r="L282" s="2" t="s">
        <v>1263</v>
      </c>
    </row>
    <row r="283">
      <c r="A283" s="2" t="s">
        <v>1264</v>
      </c>
      <c r="B283" s="2" t="s">
        <v>1265</v>
      </c>
      <c r="C283" s="2" t="s">
        <v>14</v>
      </c>
      <c r="D283" s="2" t="s">
        <v>15</v>
      </c>
      <c r="E283" s="2" t="s">
        <v>23</v>
      </c>
      <c r="F283" s="3">
        <f>+5491131513594</f>
        <v>5491131513594</v>
      </c>
      <c r="G283" s="2" t="s">
        <v>1266</v>
      </c>
      <c r="H283" s="2" t="s">
        <v>32</v>
      </c>
      <c r="I283" s="2" t="s">
        <v>25</v>
      </c>
      <c r="J283" s="2" t="s">
        <v>1267</v>
      </c>
      <c r="K283" s="4">
        <v>46142.0</v>
      </c>
      <c r="L283" s="2" t="s">
        <v>1268</v>
      </c>
    </row>
    <row r="284">
      <c r="A284" s="2" t="s">
        <v>1269</v>
      </c>
      <c r="B284" s="2" t="s">
        <v>1270</v>
      </c>
      <c r="C284" s="2" t="s">
        <v>14</v>
      </c>
      <c r="D284" s="2" t="s">
        <v>15</v>
      </c>
      <c r="E284" s="2" t="s">
        <v>23</v>
      </c>
      <c r="F284" s="3">
        <f>+5491132096855</f>
        <v>5491132096855</v>
      </c>
      <c r="G284" s="2" t="s">
        <v>1271</v>
      </c>
      <c r="H284" s="2" t="s">
        <v>32</v>
      </c>
      <c r="I284" s="2" t="s">
        <v>25</v>
      </c>
      <c r="J284" s="2" t="s">
        <v>266</v>
      </c>
      <c r="K284" s="4">
        <v>46142.0</v>
      </c>
      <c r="L284" s="2" t="s">
        <v>1272</v>
      </c>
    </row>
    <row r="285">
      <c r="A285" s="2" t="s">
        <v>1273</v>
      </c>
      <c r="B285" s="2" t="s">
        <v>1274</v>
      </c>
      <c r="C285" s="2" t="s">
        <v>14</v>
      </c>
      <c r="D285" s="2" t="s">
        <v>15</v>
      </c>
      <c r="E285" s="2" t="s">
        <v>23</v>
      </c>
      <c r="F285" s="3">
        <f>+5491159341448</f>
        <v>5491159341448</v>
      </c>
      <c r="G285" s="2" t="s">
        <v>1275</v>
      </c>
      <c r="H285" s="2" t="s">
        <v>32</v>
      </c>
      <c r="I285" s="2" t="s">
        <v>25</v>
      </c>
      <c r="J285" s="2" t="s">
        <v>266</v>
      </c>
      <c r="K285" s="4">
        <v>46142.0</v>
      </c>
      <c r="L285" s="2" t="s">
        <v>1276</v>
      </c>
    </row>
    <row r="286">
      <c r="A286" s="2" t="s">
        <v>1277</v>
      </c>
      <c r="B286" s="2" t="s">
        <v>1278</v>
      </c>
      <c r="C286" s="2" t="s">
        <v>185</v>
      </c>
      <c r="D286" s="2" t="s">
        <v>15</v>
      </c>
      <c r="E286" s="2" t="s">
        <v>23</v>
      </c>
      <c r="F286" s="3">
        <f>+5491168019123</f>
        <v>5491168019123</v>
      </c>
      <c r="G286" s="2" t="s">
        <v>1279</v>
      </c>
      <c r="H286" s="2" t="s">
        <v>25</v>
      </c>
      <c r="I286" s="2" t="s">
        <v>26</v>
      </c>
      <c r="J286" s="2" t="s">
        <v>1280</v>
      </c>
      <c r="K286" s="4">
        <v>46142.0</v>
      </c>
      <c r="L286" s="2" t="s">
        <v>1281</v>
      </c>
    </row>
    <row r="287">
      <c r="A287" s="2" t="s">
        <v>1282</v>
      </c>
      <c r="B287" s="2" t="s">
        <v>1283</v>
      </c>
      <c r="C287" s="2" t="s">
        <v>14</v>
      </c>
      <c r="D287" s="2" t="s">
        <v>15</v>
      </c>
      <c r="E287" s="2" t="s">
        <v>23</v>
      </c>
      <c r="F287" s="3">
        <f>+5491141594807</f>
        <v>5491141594807</v>
      </c>
      <c r="G287" s="2" t="s">
        <v>1284</v>
      </c>
      <c r="H287" s="2" t="s">
        <v>71</v>
      </c>
      <c r="I287" s="2" t="s">
        <v>71</v>
      </c>
      <c r="J287" s="2" t="s">
        <v>917</v>
      </c>
      <c r="K287" s="4">
        <v>46142.0</v>
      </c>
      <c r="L287" s="2" t="s">
        <v>1285</v>
      </c>
    </row>
    <row r="288">
      <c r="A288" s="2" t="s">
        <v>1286</v>
      </c>
      <c r="B288" s="2" t="s">
        <v>1287</v>
      </c>
      <c r="C288" s="2" t="s">
        <v>14</v>
      </c>
      <c r="D288" s="2" t="s">
        <v>15</v>
      </c>
      <c r="E288" s="2" t="s">
        <v>23</v>
      </c>
      <c r="F288" s="3">
        <f>+5491167642706</f>
        <v>5491167642706</v>
      </c>
      <c r="G288" s="2" t="s">
        <v>1288</v>
      </c>
      <c r="H288" s="2" t="s">
        <v>32</v>
      </c>
      <c r="I288" s="2" t="s">
        <v>25</v>
      </c>
      <c r="J288" s="2" t="s">
        <v>1037</v>
      </c>
      <c r="K288" s="4">
        <v>46142.0</v>
      </c>
      <c r="L288" s="2" t="s">
        <v>1289</v>
      </c>
    </row>
    <row r="289">
      <c r="A289" s="2" t="s">
        <v>1290</v>
      </c>
      <c r="B289" s="2" t="s">
        <v>1291</v>
      </c>
      <c r="C289" s="2" t="s">
        <v>14</v>
      </c>
      <c r="D289" s="2" t="s">
        <v>15</v>
      </c>
      <c r="E289" s="2" t="s">
        <v>23</v>
      </c>
      <c r="F289" s="3">
        <f>+5491157015243</f>
        <v>5491157015243</v>
      </c>
      <c r="G289" s="2" t="s">
        <v>1292</v>
      </c>
      <c r="H289" s="2" t="s">
        <v>25</v>
      </c>
      <c r="I289" s="2" t="s">
        <v>309</v>
      </c>
      <c r="J289" s="2" t="s">
        <v>309</v>
      </c>
      <c r="K289" s="4">
        <v>46142.0</v>
      </c>
      <c r="L289" s="2" t="s">
        <v>1293</v>
      </c>
    </row>
    <row r="290">
      <c r="A290" s="2" t="s">
        <v>1294</v>
      </c>
      <c r="B290" s="2" t="s">
        <v>1295</v>
      </c>
      <c r="C290" s="2" t="s">
        <v>14</v>
      </c>
      <c r="D290" s="2" t="s">
        <v>15</v>
      </c>
      <c r="E290" s="2" t="s">
        <v>23</v>
      </c>
      <c r="F290" s="3">
        <f>+5493489656312</f>
        <v>5493489656312</v>
      </c>
      <c r="G290" s="2" t="s">
        <v>1296</v>
      </c>
      <c r="H290" s="2" t="s">
        <v>25</v>
      </c>
      <c r="I290" s="2" t="s">
        <v>1297</v>
      </c>
      <c r="J290" s="2" t="s">
        <v>1297</v>
      </c>
      <c r="K290" s="4">
        <v>46142.0</v>
      </c>
      <c r="L290" s="2" t="s">
        <v>1298</v>
      </c>
    </row>
    <row r="291">
      <c r="A291" s="2" t="s">
        <v>1299</v>
      </c>
      <c r="B291" s="2" t="s">
        <v>1300</v>
      </c>
      <c r="C291" s="2" t="s">
        <v>14</v>
      </c>
      <c r="D291" s="2" t="s">
        <v>15</v>
      </c>
      <c r="E291" s="2" t="s">
        <v>23</v>
      </c>
      <c r="F291" s="3">
        <f>+5492615899404</f>
        <v>5492615899404</v>
      </c>
      <c r="G291" s="2" t="s">
        <v>1301</v>
      </c>
      <c r="H291" s="2" t="s">
        <v>71</v>
      </c>
      <c r="I291" s="2" t="s">
        <v>71</v>
      </c>
      <c r="J291" s="2" t="s">
        <v>1302</v>
      </c>
      <c r="K291" s="4">
        <v>46142.0</v>
      </c>
      <c r="L291" s="2" t="s">
        <v>1303</v>
      </c>
    </row>
    <row r="292">
      <c r="A292" s="2" t="s">
        <v>1304</v>
      </c>
      <c r="B292" s="2" t="s">
        <v>1305</v>
      </c>
      <c r="C292" s="2" t="s">
        <v>185</v>
      </c>
      <c r="D292" s="2" t="s">
        <v>15</v>
      </c>
      <c r="E292" s="2" t="s">
        <v>23</v>
      </c>
      <c r="F292" s="3">
        <f>+5491139698273</f>
        <v>5491139698273</v>
      </c>
      <c r="G292" s="2" t="s">
        <v>1306</v>
      </c>
      <c r="H292" s="2" t="s">
        <v>25</v>
      </c>
      <c r="I292" s="2" t="s">
        <v>26</v>
      </c>
      <c r="J292" s="2" t="s">
        <v>27</v>
      </c>
      <c r="K292" s="4">
        <v>46142.0</v>
      </c>
      <c r="L292" s="2" t="s">
        <v>1307</v>
      </c>
    </row>
    <row r="293">
      <c r="A293" s="2" t="s">
        <v>1308</v>
      </c>
      <c r="B293" s="2" t="s">
        <v>1309</v>
      </c>
      <c r="C293" s="2" t="s">
        <v>14</v>
      </c>
      <c r="D293" s="2" t="s">
        <v>15</v>
      </c>
      <c r="E293" s="2" t="s">
        <v>23</v>
      </c>
      <c r="F293" s="3">
        <f>+5491156295618</f>
        <v>5491156295618</v>
      </c>
      <c r="G293" s="2" t="s">
        <v>1310</v>
      </c>
      <c r="H293" s="2" t="s">
        <v>25</v>
      </c>
      <c r="I293" s="2" t="s">
        <v>314</v>
      </c>
      <c r="J293" s="2" t="s">
        <v>1075</v>
      </c>
      <c r="K293" s="4">
        <v>46142.0</v>
      </c>
      <c r="L293" s="2" t="s">
        <v>1311</v>
      </c>
    </row>
    <row r="294">
      <c r="A294" s="2" t="s">
        <v>1312</v>
      </c>
      <c r="B294" s="2" t="s">
        <v>1313</v>
      </c>
      <c r="C294" s="2" t="s">
        <v>14</v>
      </c>
      <c r="D294" s="2" t="s">
        <v>15</v>
      </c>
      <c r="E294" s="2" t="s">
        <v>23</v>
      </c>
      <c r="F294" s="3">
        <f>+5491122542503</f>
        <v>5491122542503</v>
      </c>
      <c r="G294" s="2" t="s">
        <v>1314</v>
      </c>
      <c r="H294" s="2" t="s">
        <v>25</v>
      </c>
      <c r="I294" s="2" t="s">
        <v>971</v>
      </c>
      <c r="J294" s="2" t="s">
        <v>1315</v>
      </c>
      <c r="K294" s="4">
        <v>46142.0</v>
      </c>
      <c r="L294" s="2" t="s">
        <v>1316</v>
      </c>
    </row>
    <row r="295">
      <c r="A295" s="2" t="s">
        <v>1317</v>
      </c>
      <c r="B295" s="2" t="s">
        <v>1318</v>
      </c>
      <c r="C295" s="2" t="s">
        <v>14</v>
      </c>
      <c r="D295" s="2" t="s">
        <v>15</v>
      </c>
      <c r="E295" s="2" t="s">
        <v>23</v>
      </c>
      <c r="F295" s="3">
        <f>+5493415421387</f>
        <v>5493415421387</v>
      </c>
      <c r="G295" s="2" t="s">
        <v>1319</v>
      </c>
      <c r="H295" s="2" t="s">
        <v>65</v>
      </c>
      <c r="I295" s="2" t="s">
        <v>66</v>
      </c>
      <c r="J295" s="2" t="s">
        <v>66</v>
      </c>
      <c r="K295" s="4">
        <v>46141.0</v>
      </c>
      <c r="L295" s="2" t="s">
        <v>1320</v>
      </c>
    </row>
    <row r="296">
      <c r="A296" s="2" t="s">
        <v>1321</v>
      </c>
      <c r="B296" s="2" t="s">
        <v>1322</v>
      </c>
      <c r="C296" s="2" t="s">
        <v>14</v>
      </c>
      <c r="D296" s="2" t="s">
        <v>15</v>
      </c>
      <c r="E296" s="2" t="s">
        <v>23</v>
      </c>
      <c r="F296" s="3">
        <f>+5493541390145</f>
        <v>5493541390145</v>
      </c>
      <c r="G296" s="2" t="s">
        <v>1323</v>
      </c>
      <c r="H296" s="2" t="s">
        <v>18</v>
      </c>
      <c r="I296" s="2" t="s">
        <v>535</v>
      </c>
      <c r="J296" s="2" t="s">
        <v>635</v>
      </c>
      <c r="K296" s="4">
        <v>46141.0</v>
      </c>
      <c r="L296" s="2" t="s">
        <v>810</v>
      </c>
    </row>
    <row r="297">
      <c r="A297" s="2" t="s">
        <v>1324</v>
      </c>
      <c r="B297" s="2" t="s">
        <v>1325</v>
      </c>
      <c r="C297" s="2" t="s">
        <v>14</v>
      </c>
      <c r="D297" s="2" t="s">
        <v>15</v>
      </c>
      <c r="E297" s="2" t="s">
        <v>23</v>
      </c>
      <c r="F297" s="3">
        <f>+5491135767863</f>
        <v>5491135767863</v>
      </c>
      <c r="G297" s="2" t="s">
        <v>1326</v>
      </c>
      <c r="H297" s="2" t="s">
        <v>32</v>
      </c>
      <c r="I297" s="2" t="s">
        <v>25</v>
      </c>
      <c r="J297" s="2" t="s">
        <v>948</v>
      </c>
      <c r="K297" s="4">
        <v>46141.0</v>
      </c>
      <c r="L297" s="2" t="s">
        <v>1327</v>
      </c>
    </row>
    <row r="298">
      <c r="A298" s="2" t="s">
        <v>1328</v>
      </c>
      <c r="B298" s="2" t="s">
        <v>1329</v>
      </c>
      <c r="C298" s="2" t="s">
        <v>831</v>
      </c>
      <c r="D298" s="2" t="s">
        <v>15</v>
      </c>
      <c r="E298" s="2" t="s">
        <v>16</v>
      </c>
      <c r="F298" s="3" t="str">
        <f>+54 9 11 6030-9010</f>
        <v>#ERROR!</v>
      </c>
      <c r="G298" s="2" t="s">
        <v>1330</v>
      </c>
      <c r="H298" s="2" t="s">
        <v>32</v>
      </c>
      <c r="I298" s="2" t="s">
        <v>25</v>
      </c>
      <c r="J298" s="2" t="s">
        <v>403</v>
      </c>
      <c r="K298" s="4">
        <v>46141.0</v>
      </c>
      <c r="L298" s="2" t="s">
        <v>1331</v>
      </c>
    </row>
    <row r="299">
      <c r="A299" s="2" t="s">
        <v>1332</v>
      </c>
      <c r="B299" s="2" t="s">
        <v>1333</v>
      </c>
      <c r="C299" s="2" t="s">
        <v>14</v>
      </c>
      <c r="D299" s="2" t="s">
        <v>15</v>
      </c>
      <c r="E299" s="2" t="s">
        <v>23</v>
      </c>
      <c r="F299" s="3">
        <f>+5491133425312</f>
        <v>5491133425312</v>
      </c>
      <c r="G299" s="2" t="s">
        <v>1334</v>
      </c>
      <c r="H299" s="2" t="s">
        <v>25</v>
      </c>
      <c r="I299" s="2" t="s">
        <v>97</v>
      </c>
      <c r="J299" s="2" t="s">
        <v>1335</v>
      </c>
      <c r="K299" s="4">
        <v>46141.0</v>
      </c>
      <c r="L299" s="2" t="s">
        <v>1336</v>
      </c>
    </row>
    <row r="300">
      <c r="A300" s="2" t="s">
        <v>1337</v>
      </c>
      <c r="B300" s="2" t="s">
        <v>1338</v>
      </c>
      <c r="C300" s="2" t="s">
        <v>14</v>
      </c>
      <c r="D300" s="2" t="s">
        <v>15</v>
      </c>
      <c r="E300" s="2" t="s">
        <v>23</v>
      </c>
      <c r="F300" s="3">
        <f>+5491143710202</f>
        <v>5491143710202</v>
      </c>
      <c r="G300" s="2" t="s">
        <v>1339</v>
      </c>
      <c r="H300" s="2" t="s">
        <v>32</v>
      </c>
      <c r="I300" s="2" t="s">
        <v>25</v>
      </c>
      <c r="J300" s="2" t="s">
        <v>792</v>
      </c>
      <c r="K300" s="4">
        <v>46141.0</v>
      </c>
      <c r="L300" s="2" t="s">
        <v>1340</v>
      </c>
    </row>
    <row r="301">
      <c r="A301" s="2" t="s">
        <v>1341</v>
      </c>
      <c r="B301" s="2" t="s">
        <v>1342</v>
      </c>
      <c r="C301" s="2" t="s">
        <v>14</v>
      </c>
      <c r="D301" s="2" t="s">
        <v>15</v>
      </c>
      <c r="E301" s="2" t="s">
        <v>23</v>
      </c>
      <c r="F301" s="3">
        <f>+5493516359006</f>
        <v>5493516359006</v>
      </c>
      <c r="G301" s="2" t="s">
        <v>1343</v>
      </c>
      <c r="H301" s="2" t="s">
        <v>18</v>
      </c>
      <c r="I301" s="2" t="s">
        <v>18</v>
      </c>
      <c r="J301" s="2" t="s">
        <v>1344</v>
      </c>
      <c r="K301" s="4">
        <v>46141.0</v>
      </c>
      <c r="L301" s="2" t="s">
        <v>1345</v>
      </c>
    </row>
    <row r="302">
      <c r="A302" s="2" t="s">
        <v>1346</v>
      </c>
      <c r="B302" s="2" t="s">
        <v>1347</v>
      </c>
      <c r="C302" s="2" t="s">
        <v>185</v>
      </c>
      <c r="D302" s="2" t="s">
        <v>15</v>
      </c>
      <c r="E302" s="2" t="s">
        <v>23</v>
      </c>
      <c r="F302" s="3">
        <f>+541171047869</f>
        <v>541171047869</v>
      </c>
      <c r="G302" s="2" t="s">
        <v>1348</v>
      </c>
      <c r="H302" s="2" t="s">
        <v>25</v>
      </c>
      <c r="I302" s="2" t="s">
        <v>1349</v>
      </c>
      <c r="J302" s="2" t="s">
        <v>1349</v>
      </c>
      <c r="K302" s="4">
        <v>46141.0</v>
      </c>
      <c r="L302" s="2" t="s">
        <v>1350</v>
      </c>
    </row>
    <row r="303">
      <c r="A303" s="2" t="s">
        <v>1351</v>
      </c>
      <c r="B303" s="2" t="s">
        <v>1352</v>
      </c>
      <c r="C303" s="2" t="s">
        <v>14</v>
      </c>
      <c r="D303" s="2" t="s">
        <v>15</v>
      </c>
      <c r="E303" s="2" t="s">
        <v>23</v>
      </c>
      <c r="F303" s="3">
        <f>+5491126274744</f>
        <v>5491126274744</v>
      </c>
      <c r="G303" s="2" t="s">
        <v>1353</v>
      </c>
      <c r="H303" s="2" t="s">
        <v>32</v>
      </c>
      <c r="I303" s="2" t="s">
        <v>25</v>
      </c>
      <c r="J303" s="2" t="s">
        <v>403</v>
      </c>
      <c r="K303" s="4">
        <v>46141.0</v>
      </c>
      <c r="L303" s="2" t="s">
        <v>1354</v>
      </c>
    </row>
    <row r="304">
      <c r="A304" s="2" t="s">
        <v>1355</v>
      </c>
      <c r="B304" s="2" t="s">
        <v>1356</v>
      </c>
      <c r="C304" s="2" t="s">
        <v>14</v>
      </c>
      <c r="D304" s="2" t="s">
        <v>15</v>
      </c>
      <c r="E304" s="2" t="s">
        <v>23</v>
      </c>
      <c r="F304" s="3">
        <f>+5491179968000</f>
        <v>5491179968000</v>
      </c>
      <c r="G304" s="2" t="s">
        <v>1357</v>
      </c>
      <c r="H304" s="2" t="s">
        <v>25</v>
      </c>
      <c r="I304" s="2" t="s">
        <v>236</v>
      </c>
      <c r="J304" s="2" t="s">
        <v>236</v>
      </c>
      <c r="K304" s="4">
        <v>46141.0</v>
      </c>
      <c r="L304" s="2" t="s">
        <v>1358</v>
      </c>
    </row>
    <row r="305">
      <c r="A305" s="2" t="s">
        <v>1359</v>
      </c>
      <c r="B305" s="2" t="s">
        <v>1360</v>
      </c>
      <c r="C305" s="2" t="s">
        <v>14</v>
      </c>
      <c r="D305" s="2" t="s">
        <v>15</v>
      </c>
      <c r="E305" s="2" t="s">
        <v>23</v>
      </c>
      <c r="F305" s="3">
        <f>+543415523886</f>
        <v>543415523886</v>
      </c>
      <c r="G305" s="2" t="s">
        <v>1361</v>
      </c>
      <c r="H305" s="2" t="s">
        <v>18</v>
      </c>
      <c r="I305" s="2" t="s">
        <v>535</v>
      </c>
      <c r="J305" s="2" t="s">
        <v>984</v>
      </c>
      <c r="K305" s="4">
        <v>46141.0</v>
      </c>
      <c r="L305" s="2" t="s">
        <v>1362</v>
      </c>
    </row>
    <row r="306">
      <c r="A306" s="2" t="s">
        <v>1363</v>
      </c>
      <c r="B306" s="2" t="s">
        <v>1364</v>
      </c>
      <c r="C306" s="2" t="s">
        <v>14</v>
      </c>
      <c r="D306" s="2" t="s">
        <v>15</v>
      </c>
      <c r="E306" s="2" t="s">
        <v>23</v>
      </c>
      <c r="F306" s="3">
        <f>+5491162085692</f>
        <v>5491162085692</v>
      </c>
      <c r="G306" s="2" t="s">
        <v>1365</v>
      </c>
      <c r="H306" s="2" t="s">
        <v>25</v>
      </c>
      <c r="I306" s="2" t="s">
        <v>230</v>
      </c>
      <c r="J306" s="2" t="s">
        <v>231</v>
      </c>
      <c r="K306" s="4">
        <v>46141.0</v>
      </c>
      <c r="L306" s="2" t="s">
        <v>1366</v>
      </c>
    </row>
    <row r="307">
      <c r="A307" s="2" t="s">
        <v>1367</v>
      </c>
      <c r="B307" s="2" t="s">
        <v>1368</v>
      </c>
      <c r="C307" s="2" t="s">
        <v>14</v>
      </c>
      <c r="D307" s="2" t="s">
        <v>15</v>
      </c>
      <c r="E307" s="2" t="s">
        <v>23</v>
      </c>
      <c r="F307" s="3">
        <f>+5493875531167</f>
        <v>5493875531167</v>
      </c>
      <c r="G307" s="2" t="s">
        <v>1369</v>
      </c>
      <c r="H307" s="2" t="s">
        <v>725</v>
      </c>
      <c r="I307" s="2" t="s">
        <v>725</v>
      </c>
      <c r="J307" s="2" t="s">
        <v>219</v>
      </c>
      <c r="K307" s="4">
        <v>46141.0</v>
      </c>
      <c r="L307" s="2" t="s">
        <v>1370</v>
      </c>
    </row>
    <row r="308">
      <c r="A308" s="2" t="s">
        <v>1371</v>
      </c>
      <c r="B308" s="2" t="s">
        <v>1372</v>
      </c>
      <c r="C308" s="2" t="s">
        <v>14</v>
      </c>
      <c r="D308" s="2" t="s">
        <v>15</v>
      </c>
      <c r="E308" s="2" t="s">
        <v>23</v>
      </c>
      <c r="F308" s="3">
        <f>+5491164660685</f>
        <v>5491164660685</v>
      </c>
      <c r="G308" s="2" t="s">
        <v>1373</v>
      </c>
      <c r="H308" s="2" t="s">
        <v>25</v>
      </c>
      <c r="I308" s="2" t="s">
        <v>971</v>
      </c>
      <c r="J308" s="2" t="s">
        <v>971</v>
      </c>
      <c r="K308" s="4">
        <v>46141.0</v>
      </c>
      <c r="L308" s="2" t="s">
        <v>1374</v>
      </c>
    </row>
    <row r="309">
      <c r="A309" s="2" t="s">
        <v>1375</v>
      </c>
      <c r="B309" s="2" t="s">
        <v>1376</v>
      </c>
      <c r="C309" s="2" t="s">
        <v>14</v>
      </c>
      <c r="D309" s="2" t="s">
        <v>15</v>
      </c>
      <c r="E309" s="2" t="s">
        <v>23</v>
      </c>
      <c r="F309" s="3">
        <f>+5491139206939</f>
        <v>5491139206939</v>
      </c>
      <c r="G309" s="2" t="s">
        <v>1377</v>
      </c>
      <c r="H309" s="2" t="s">
        <v>25</v>
      </c>
      <c r="I309" s="2" t="s">
        <v>1378</v>
      </c>
      <c r="J309" s="2" t="s">
        <v>1378</v>
      </c>
      <c r="K309" s="4">
        <v>46141.0</v>
      </c>
      <c r="L309" s="2" t="s">
        <v>1379</v>
      </c>
    </row>
    <row r="310">
      <c r="A310" s="2" t="s">
        <v>1380</v>
      </c>
      <c r="B310" s="2" t="s">
        <v>1381</v>
      </c>
      <c r="C310" s="2" t="s">
        <v>14</v>
      </c>
      <c r="D310" s="2" t="s">
        <v>15</v>
      </c>
      <c r="E310" s="2" t="s">
        <v>16</v>
      </c>
      <c r="F310" s="3">
        <f>+5491152292060</f>
        <v>5491152292060</v>
      </c>
      <c r="G310" s="2" t="s">
        <v>1382</v>
      </c>
      <c r="H310" s="2" t="s">
        <v>32</v>
      </c>
      <c r="I310" s="2" t="s">
        <v>25</v>
      </c>
      <c r="J310" s="2" t="s">
        <v>759</v>
      </c>
      <c r="K310" s="4">
        <v>46141.0</v>
      </c>
      <c r="L310" s="2" t="s">
        <v>1383</v>
      </c>
    </row>
    <row r="311">
      <c r="A311" s="2" t="s">
        <v>1384</v>
      </c>
      <c r="B311" s="2" t="s">
        <v>1385</v>
      </c>
      <c r="C311" s="2" t="s">
        <v>14</v>
      </c>
      <c r="D311" s="2" t="s">
        <v>15</v>
      </c>
      <c r="E311" s="2" t="s">
        <v>23</v>
      </c>
      <c r="F311" s="3">
        <f>+5493576517951</f>
        <v>5493576517951</v>
      </c>
      <c r="G311" s="2" t="s">
        <v>1386</v>
      </c>
      <c r="H311" s="2" t="s">
        <v>18</v>
      </c>
      <c r="I311" s="2" t="s">
        <v>18</v>
      </c>
      <c r="J311" s="2" t="s">
        <v>1387</v>
      </c>
      <c r="K311" s="4">
        <v>46141.0</v>
      </c>
      <c r="L311" s="2" t="s">
        <v>1388</v>
      </c>
    </row>
    <row r="312">
      <c r="A312" s="2" t="s">
        <v>1389</v>
      </c>
      <c r="B312" s="2" t="s">
        <v>1390</v>
      </c>
      <c r="C312" s="2" t="s">
        <v>14</v>
      </c>
      <c r="D312" s="2" t="s">
        <v>15</v>
      </c>
      <c r="E312" s="2" t="s">
        <v>23</v>
      </c>
      <c r="F312" s="3">
        <f>+5491131951762</f>
        <v>5491131951762</v>
      </c>
      <c r="G312" s="2" t="s">
        <v>1391</v>
      </c>
      <c r="H312" s="2" t="s">
        <v>25</v>
      </c>
      <c r="I312" s="2" t="s">
        <v>309</v>
      </c>
      <c r="J312" s="2" t="s">
        <v>309</v>
      </c>
      <c r="K312" s="4">
        <v>46141.0</v>
      </c>
      <c r="L312" s="2" t="s">
        <v>1392</v>
      </c>
    </row>
    <row r="313">
      <c r="A313" s="2" t="s">
        <v>1393</v>
      </c>
      <c r="B313" s="2" t="s">
        <v>1394</v>
      </c>
      <c r="C313" s="2" t="s">
        <v>14</v>
      </c>
      <c r="D313" s="2" t="s">
        <v>15</v>
      </c>
      <c r="E313" s="2" t="s">
        <v>23</v>
      </c>
      <c r="F313" s="3">
        <f>+5491161884013</f>
        <v>5491161884013</v>
      </c>
      <c r="G313" s="2" t="s">
        <v>1395</v>
      </c>
      <c r="H313" s="2" t="s">
        <v>25</v>
      </c>
      <c r="I313" s="2" t="s">
        <v>230</v>
      </c>
      <c r="J313" s="2" t="s">
        <v>231</v>
      </c>
      <c r="K313" s="4">
        <v>46141.0</v>
      </c>
      <c r="L313" s="2" t="s">
        <v>1396</v>
      </c>
    </row>
    <row r="314">
      <c r="A314" s="2" t="s">
        <v>1397</v>
      </c>
      <c r="B314" s="2" t="s">
        <v>1398</v>
      </c>
      <c r="C314" s="2" t="s">
        <v>14</v>
      </c>
      <c r="D314" s="2" t="s">
        <v>15</v>
      </c>
      <c r="E314" s="2" t="s">
        <v>23</v>
      </c>
      <c r="F314" s="3">
        <f>+5493513120002</f>
        <v>5493513120002</v>
      </c>
      <c r="G314" s="2" t="s">
        <v>1399</v>
      </c>
      <c r="H314" s="2" t="s">
        <v>65</v>
      </c>
      <c r="I314" s="2" t="s">
        <v>218</v>
      </c>
      <c r="J314" s="2" t="s">
        <v>1400</v>
      </c>
      <c r="K314" s="4">
        <v>46141.0</v>
      </c>
      <c r="L314" s="2" t="s">
        <v>1401</v>
      </c>
    </row>
    <row r="315">
      <c r="A315" s="2" t="s">
        <v>1402</v>
      </c>
      <c r="B315" s="2" t="s">
        <v>1403</v>
      </c>
      <c r="C315" s="2" t="s">
        <v>14</v>
      </c>
      <c r="D315" s="2" t="s">
        <v>15</v>
      </c>
      <c r="E315" s="2" t="s">
        <v>16</v>
      </c>
      <c r="F315" s="3">
        <f>+5491171909115</f>
        <v>5491171909115</v>
      </c>
      <c r="G315" s="2" t="s">
        <v>1404</v>
      </c>
      <c r="H315" s="2" t="s">
        <v>18</v>
      </c>
      <c r="I315" s="2" t="s">
        <v>18</v>
      </c>
      <c r="J315" s="2" t="s">
        <v>1405</v>
      </c>
      <c r="K315" s="4">
        <v>46141.0</v>
      </c>
      <c r="L315" s="2" t="s">
        <v>1406</v>
      </c>
    </row>
    <row r="316">
      <c r="A316" s="2" t="s">
        <v>1407</v>
      </c>
      <c r="B316" s="2" t="s">
        <v>1408</v>
      </c>
      <c r="C316" s="2" t="s">
        <v>14</v>
      </c>
      <c r="D316" s="2" t="s">
        <v>15</v>
      </c>
      <c r="E316" s="2" t="s">
        <v>23</v>
      </c>
      <c r="F316" s="3">
        <f>+5491178289235</f>
        <v>5491178289235</v>
      </c>
      <c r="G316" s="2" t="s">
        <v>1409</v>
      </c>
      <c r="H316" s="2" t="s">
        <v>25</v>
      </c>
      <c r="I316" s="2" t="s">
        <v>97</v>
      </c>
      <c r="J316" s="2" t="s">
        <v>97</v>
      </c>
      <c r="K316" s="4">
        <v>46141.0</v>
      </c>
      <c r="L316" s="2" t="s">
        <v>1410</v>
      </c>
    </row>
    <row r="317">
      <c r="A317" s="2" t="s">
        <v>1411</v>
      </c>
      <c r="B317" s="2" t="s">
        <v>1412</v>
      </c>
      <c r="C317" s="2" t="s">
        <v>14</v>
      </c>
      <c r="D317" s="2" t="s">
        <v>15</v>
      </c>
      <c r="E317" s="2" t="s">
        <v>23</v>
      </c>
      <c r="F317" s="3">
        <f>+5493413053683</f>
        <v>5493413053683</v>
      </c>
      <c r="G317" s="2" t="s">
        <v>1413</v>
      </c>
      <c r="H317" s="2" t="s">
        <v>65</v>
      </c>
      <c r="I317" s="2" t="s">
        <v>218</v>
      </c>
      <c r="J317" s="2" t="s">
        <v>1414</v>
      </c>
      <c r="K317" s="4">
        <v>46141.0</v>
      </c>
      <c r="L317" s="2" t="s">
        <v>1415</v>
      </c>
    </row>
    <row r="318">
      <c r="A318" s="2" t="s">
        <v>1416</v>
      </c>
      <c r="B318" s="2" t="s">
        <v>1417</v>
      </c>
      <c r="C318" s="2" t="s">
        <v>14</v>
      </c>
      <c r="D318" s="2" t="s">
        <v>15</v>
      </c>
      <c r="E318" s="2" t="s">
        <v>23</v>
      </c>
      <c r="F318" s="3">
        <f>+54901152508492</f>
        <v>54901152508492</v>
      </c>
      <c r="G318" s="2" t="s">
        <v>1418</v>
      </c>
      <c r="H318" s="2" t="s">
        <v>25</v>
      </c>
      <c r="I318" s="2" t="s">
        <v>550</v>
      </c>
      <c r="J318" s="2" t="s">
        <v>1113</v>
      </c>
      <c r="K318" s="4">
        <v>46141.0</v>
      </c>
      <c r="L318" s="2" t="s">
        <v>1419</v>
      </c>
    </row>
    <row r="319">
      <c r="A319" s="2" t="s">
        <v>1420</v>
      </c>
      <c r="B319" s="2" t="s">
        <v>1421</v>
      </c>
      <c r="C319" s="2" t="s">
        <v>14</v>
      </c>
      <c r="D319" s="2" t="s">
        <v>15</v>
      </c>
      <c r="E319" s="2" t="s">
        <v>23</v>
      </c>
      <c r="F319" s="3">
        <f>+5491176576413</f>
        <v>5491176576413</v>
      </c>
      <c r="G319" s="2" t="s">
        <v>1422</v>
      </c>
      <c r="H319" s="2" t="s">
        <v>25</v>
      </c>
      <c r="I319" s="2" t="s">
        <v>971</v>
      </c>
      <c r="J319" s="2" t="s">
        <v>1423</v>
      </c>
      <c r="K319" s="4">
        <v>46141.0</v>
      </c>
      <c r="L319" s="2" t="s">
        <v>1424</v>
      </c>
    </row>
    <row r="320">
      <c r="A320" s="2" t="s">
        <v>1425</v>
      </c>
      <c r="B320" s="2" t="s">
        <v>1426</v>
      </c>
      <c r="C320" s="2" t="s">
        <v>14</v>
      </c>
      <c r="D320" s="2" t="s">
        <v>15</v>
      </c>
      <c r="E320" s="2" t="s">
        <v>23</v>
      </c>
      <c r="F320" s="3">
        <f>+5493435411439</f>
        <v>5493435411439</v>
      </c>
      <c r="G320" s="2" t="s">
        <v>1427</v>
      </c>
      <c r="H320" s="2" t="s">
        <v>65</v>
      </c>
      <c r="I320" s="2" t="s">
        <v>218</v>
      </c>
      <c r="J320" s="2" t="s">
        <v>219</v>
      </c>
      <c r="K320" s="4">
        <v>46141.0</v>
      </c>
      <c r="L320" s="2" t="s">
        <v>1428</v>
      </c>
    </row>
    <row r="321">
      <c r="A321" s="2" t="s">
        <v>1429</v>
      </c>
      <c r="B321" s="2" t="s">
        <v>1430</v>
      </c>
      <c r="C321" s="2" t="s">
        <v>14</v>
      </c>
      <c r="D321" s="2" t="s">
        <v>15</v>
      </c>
      <c r="E321" s="2" t="s">
        <v>23</v>
      </c>
      <c r="F321" s="3">
        <f>+5491148888582</f>
        <v>5491148888582</v>
      </c>
      <c r="G321" s="2" t="s">
        <v>1431</v>
      </c>
      <c r="H321" s="2" t="s">
        <v>25</v>
      </c>
      <c r="I321" s="2" t="s">
        <v>957</v>
      </c>
      <c r="J321" s="2" t="s">
        <v>957</v>
      </c>
      <c r="K321" s="4">
        <v>46141.0</v>
      </c>
      <c r="L321" s="2" t="s">
        <v>1432</v>
      </c>
    </row>
    <row r="322">
      <c r="A322" s="2" t="s">
        <v>1433</v>
      </c>
      <c r="B322" s="2" t="s">
        <v>1434</v>
      </c>
      <c r="C322" s="2" t="s">
        <v>14</v>
      </c>
      <c r="D322" s="2" t="s">
        <v>15</v>
      </c>
      <c r="E322" s="2" t="s">
        <v>16</v>
      </c>
      <c r="F322" s="3">
        <f>+5491162816900</f>
        <v>5491162816900</v>
      </c>
      <c r="G322" s="2" t="s">
        <v>1435</v>
      </c>
      <c r="H322" s="2" t="s">
        <v>32</v>
      </c>
      <c r="I322" s="2" t="s">
        <v>25</v>
      </c>
      <c r="J322" s="2" t="s">
        <v>948</v>
      </c>
      <c r="K322" s="4">
        <v>46141.0</v>
      </c>
      <c r="L322" s="2" t="s">
        <v>1436</v>
      </c>
    </row>
    <row r="323">
      <c r="A323" s="2" t="s">
        <v>1437</v>
      </c>
      <c r="B323" s="2" t="s">
        <v>1438</v>
      </c>
      <c r="C323" s="2" t="s">
        <v>14</v>
      </c>
      <c r="D323" s="2" t="s">
        <v>15</v>
      </c>
      <c r="E323" s="2" t="s">
        <v>23</v>
      </c>
      <c r="F323" s="3">
        <f>+5491166267761</f>
        <v>5491166267761</v>
      </c>
      <c r="G323" s="2" t="s">
        <v>1439</v>
      </c>
      <c r="H323" s="2" t="s">
        <v>25</v>
      </c>
      <c r="I323" s="2" t="s">
        <v>309</v>
      </c>
      <c r="J323" s="2" t="s">
        <v>309</v>
      </c>
      <c r="K323" s="4">
        <v>46141.0</v>
      </c>
      <c r="L323" s="2" t="s">
        <v>1440</v>
      </c>
    </row>
    <row r="324">
      <c r="A324" s="2" t="s">
        <v>1441</v>
      </c>
      <c r="B324" s="2" t="s">
        <v>1442</v>
      </c>
      <c r="C324" s="2" t="s">
        <v>831</v>
      </c>
      <c r="D324" s="2" t="s">
        <v>15</v>
      </c>
      <c r="E324" s="2" t="s">
        <v>23</v>
      </c>
      <c r="F324" s="3">
        <f>+541134544761</f>
        <v>541134544761</v>
      </c>
      <c r="G324" s="2" t="s">
        <v>1443</v>
      </c>
      <c r="H324" s="2" t="s">
        <v>32</v>
      </c>
      <c r="I324" s="2" t="s">
        <v>25</v>
      </c>
      <c r="J324" s="2" t="s">
        <v>1444</v>
      </c>
      <c r="K324" s="4">
        <v>46141.0</v>
      </c>
      <c r="L324" s="2" t="s">
        <v>1445</v>
      </c>
    </row>
    <row r="325">
      <c r="A325" s="2" t="s">
        <v>1446</v>
      </c>
      <c r="B325" s="2" t="s">
        <v>1447</v>
      </c>
      <c r="C325" s="2" t="s">
        <v>14</v>
      </c>
      <c r="D325" s="2" t="s">
        <v>15</v>
      </c>
      <c r="E325" s="2" t="s">
        <v>23</v>
      </c>
      <c r="F325" s="3">
        <f>+5491165121298</f>
        <v>5491165121298</v>
      </c>
      <c r="G325" s="2" t="s">
        <v>1448</v>
      </c>
      <c r="H325" s="2" t="s">
        <v>25</v>
      </c>
      <c r="I325" s="2" t="s">
        <v>309</v>
      </c>
      <c r="J325" s="2" t="s">
        <v>1449</v>
      </c>
      <c r="K325" s="4">
        <v>46141.0</v>
      </c>
      <c r="L325" s="2" t="s">
        <v>1450</v>
      </c>
    </row>
    <row r="326">
      <c r="A326" s="2" t="s">
        <v>1451</v>
      </c>
      <c r="B326" s="2" t="s">
        <v>1452</v>
      </c>
      <c r="C326" s="2" t="s">
        <v>14</v>
      </c>
      <c r="D326" s="2" t="s">
        <v>15</v>
      </c>
      <c r="E326" s="2" t="s">
        <v>23</v>
      </c>
      <c r="F326" s="3">
        <f>+5491124977830</f>
        <v>5491124977830</v>
      </c>
      <c r="G326" s="2" t="s">
        <v>1453</v>
      </c>
      <c r="H326" s="2" t="s">
        <v>25</v>
      </c>
      <c r="I326" s="2" t="s">
        <v>241</v>
      </c>
      <c r="J326" s="2" t="s">
        <v>241</v>
      </c>
      <c r="K326" s="4">
        <v>46141.0</v>
      </c>
      <c r="L326" s="2" t="s">
        <v>1454</v>
      </c>
    </row>
    <row r="327">
      <c r="A327" s="2" t="s">
        <v>1455</v>
      </c>
      <c r="B327" s="2" t="s">
        <v>1456</v>
      </c>
      <c r="C327" s="2" t="s">
        <v>14</v>
      </c>
      <c r="D327" s="2" t="s">
        <v>15</v>
      </c>
      <c r="E327" s="2" t="s">
        <v>23</v>
      </c>
      <c r="F327" s="3">
        <f>+5491157278784</f>
        <v>5491157278784</v>
      </c>
      <c r="G327" s="2" t="s">
        <v>1457</v>
      </c>
      <c r="H327" s="2" t="s">
        <v>25</v>
      </c>
      <c r="I327" s="2" t="s">
        <v>314</v>
      </c>
      <c r="J327" s="2" t="s">
        <v>438</v>
      </c>
      <c r="K327" s="4">
        <v>46141.0</v>
      </c>
      <c r="L327" s="2" t="s">
        <v>1458</v>
      </c>
    </row>
    <row r="328">
      <c r="A328" s="2" t="s">
        <v>1459</v>
      </c>
      <c r="B328" s="2" t="s">
        <v>1460</v>
      </c>
      <c r="C328" s="2" t="s">
        <v>14</v>
      </c>
      <c r="D328" s="2" t="s">
        <v>15</v>
      </c>
      <c r="E328" s="2" t="s">
        <v>23</v>
      </c>
      <c r="F328" s="3">
        <f>+5491168019442</f>
        <v>5491168019442</v>
      </c>
      <c r="G328" s="2" t="s">
        <v>1461</v>
      </c>
      <c r="H328" s="2" t="s">
        <v>25</v>
      </c>
      <c r="I328" s="2" t="s">
        <v>236</v>
      </c>
      <c r="J328" s="2" t="s">
        <v>236</v>
      </c>
      <c r="K328" s="4">
        <v>46141.0</v>
      </c>
      <c r="L328" s="2" t="s">
        <v>1462</v>
      </c>
    </row>
    <row r="329">
      <c r="A329" s="2" t="s">
        <v>1463</v>
      </c>
      <c r="B329" s="2" t="s">
        <v>1464</v>
      </c>
      <c r="C329" s="2" t="s">
        <v>14</v>
      </c>
      <c r="D329" s="2" t="s">
        <v>15</v>
      </c>
      <c r="E329" s="2" t="s">
        <v>23</v>
      </c>
      <c r="F329" s="3">
        <f>+5492915208531</f>
        <v>5492915208531</v>
      </c>
      <c r="G329" s="2" t="s">
        <v>1465</v>
      </c>
      <c r="H329" s="2" t="s">
        <v>25</v>
      </c>
      <c r="I329" s="2" t="s">
        <v>841</v>
      </c>
      <c r="J329" s="2" t="s">
        <v>1466</v>
      </c>
      <c r="K329" s="4">
        <v>46141.0</v>
      </c>
      <c r="L329" s="2" t="s">
        <v>1467</v>
      </c>
    </row>
    <row r="330">
      <c r="A330" s="2" t="s">
        <v>1468</v>
      </c>
      <c r="B330" s="2" t="s">
        <v>1469</v>
      </c>
      <c r="C330" s="2" t="s">
        <v>14</v>
      </c>
      <c r="D330" s="2" t="s">
        <v>15</v>
      </c>
      <c r="E330" s="2" t="s">
        <v>23</v>
      </c>
      <c r="F330" s="3">
        <f>+5491171335154</f>
        <v>5491171335154</v>
      </c>
      <c r="G330" s="2" t="s">
        <v>1470</v>
      </c>
      <c r="H330" s="2" t="s">
        <v>32</v>
      </c>
      <c r="I330" s="2" t="s">
        <v>25</v>
      </c>
      <c r="J330" s="2" t="s">
        <v>1037</v>
      </c>
      <c r="K330" s="4">
        <v>46141.0</v>
      </c>
      <c r="L330" s="2" t="s">
        <v>1471</v>
      </c>
    </row>
    <row r="331">
      <c r="A331" s="2" t="s">
        <v>1472</v>
      </c>
      <c r="B331" s="2" t="s">
        <v>1473</v>
      </c>
      <c r="C331" s="2" t="s">
        <v>14</v>
      </c>
      <c r="D331" s="2" t="s">
        <v>15</v>
      </c>
      <c r="E331" s="2" t="s">
        <v>23</v>
      </c>
      <c r="F331" s="3">
        <f>+5491137581162</f>
        <v>5491137581162</v>
      </c>
      <c r="G331" s="2" t="s">
        <v>1474</v>
      </c>
      <c r="H331" s="2" t="s">
        <v>25</v>
      </c>
      <c r="I331" s="2" t="s">
        <v>957</v>
      </c>
      <c r="J331" s="2" t="s">
        <v>1475</v>
      </c>
      <c r="K331" s="4">
        <v>46141.0</v>
      </c>
      <c r="L331" s="2" t="s">
        <v>1476</v>
      </c>
    </row>
    <row r="332">
      <c r="A332" s="2" t="s">
        <v>1477</v>
      </c>
      <c r="B332" s="2" t="s">
        <v>1478</v>
      </c>
      <c r="C332" s="2" t="s">
        <v>14</v>
      </c>
      <c r="D332" s="2" t="s">
        <v>15</v>
      </c>
      <c r="E332" s="2" t="s">
        <v>23</v>
      </c>
      <c r="F332" s="3">
        <f>+5491139417036</f>
        <v>5491139417036</v>
      </c>
      <c r="G332" s="2" t="s">
        <v>1479</v>
      </c>
      <c r="H332" s="2" t="s">
        <v>25</v>
      </c>
      <c r="I332" s="2" t="s">
        <v>841</v>
      </c>
      <c r="J332" s="2" t="s">
        <v>219</v>
      </c>
      <c r="K332" s="4">
        <v>46141.0</v>
      </c>
      <c r="L332" s="2" t="s">
        <v>1480</v>
      </c>
    </row>
    <row r="333">
      <c r="A333" s="2" t="s">
        <v>1481</v>
      </c>
      <c r="B333" s="2" t="s">
        <v>1482</v>
      </c>
      <c r="C333" s="2" t="s">
        <v>14</v>
      </c>
      <c r="D333" s="2" t="s">
        <v>15</v>
      </c>
      <c r="E333" s="2" t="s">
        <v>23</v>
      </c>
      <c r="F333" s="3">
        <f>+5493815703144</f>
        <v>5493815703144</v>
      </c>
      <c r="G333" s="2" t="s">
        <v>1483</v>
      </c>
      <c r="H333" s="2" t="s">
        <v>55</v>
      </c>
      <c r="I333" s="2" t="s">
        <v>883</v>
      </c>
      <c r="J333" s="2" t="s">
        <v>1484</v>
      </c>
      <c r="K333" s="4">
        <v>46141.0</v>
      </c>
      <c r="L333" s="2" t="s">
        <v>1485</v>
      </c>
    </row>
    <row r="334">
      <c r="A334" s="2" t="s">
        <v>1486</v>
      </c>
      <c r="B334" s="2" t="s">
        <v>1487</v>
      </c>
      <c r="C334" s="2" t="s">
        <v>14</v>
      </c>
      <c r="D334" s="2" t="s">
        <v>15</v>
      </c>
      <c r="E334" s="2" t="s">
        <v>23</v>
      </c>
      <c r="F334" s="3">
        <f>+5492235011996</f>
        <v>5492235011996</v>
      </c>
      <c r="G334" s="2" t="s">
        <v>1488</v>
      </c>
      <c r="H334" s="2" t="s">
        <v>25</v>
      </c>
      <c r="I334" s="2" t="s">
        <v>649</v>
      </c>
      <c r="J334" s="2" t="s">
        <v>1489</v>
      </c>
      <c r="K334" s="4">
        <v>46141.0</v>
      </c>
      <c r="L334" s="2" t="s">
        <v>1490</v>
      </c>
    </row>
    <row r="335">
      <c r="A335" s="2" t="s">
        <v>1491</v>
      </c>
      <c r="B335" s="2" t="s">
        <v>1492</v>
      </c>
      <c r="C335" s="2" t="s">
        <v>14</v>
      </c>
      <c r="D335" s="2" t="s">
        <v>15</v>
      </c>
      <c r="E335" s="2" t="s">
        <v>23</v>
      </c>
      <c r="F335" s="3">
        <f>+5491130675236</f>
        <v>5491130675236</v>
      </c>
      <c r="G335" s="2" t="s">
        <v>1493</v>
      </c>
      <c r="H335" s="2" t="s">
        <v>25</v>
      </c>
      <c r="I335" s="2" t="s">
        <v>26</v>
      </c>
      <c r="J335" s="2" t="s">
        <v>1280</v>
      </c>
      <c r="K335" s="4">
        <v>46141.0</v>
      </c>
      <c r="L335" s="2" t="s">
        <v>1494</v>
      </c>
    </row>
    <row r="336">
      <c r="A336" s="2" t="s">
        <v>1495</v>
      </c>
      <c r="B336" s="2" t="s">
        <v>1496</v>
      </c>
      <c r="C336" s="2" t="s">
        <v>14</v>
      </c>
      <c r="D336" s="2" t="s">
        <v>15</v>
      </c>
      <c r="E336" s="2" t="s">
        <v>23</v>
      </c>
      <c r="F336" s="3">
        <f>+5491171189467</f>
        <v>5491171189467</v>
      </c>
      <c r="G336" s="2" t="s">
        <v>1497</v>
      </c>
      <c r="H336" s="2" t="s">
        <v>32</v>
      </c>
      <c r="I336" s="2" t="s">
        <v>25</v>
      </c>
      <c r="J336" s="2" t="s">
        <v>594</v>
      </c>
      <c r="K336" s="4">
        <v>46141.0</v>
      </c>
      <c r="L336" s="2" t="s">
        <v>1498</v>
      </c>
    </row>
    <row r="337">
      <c r="A337" s="2" t="s">
        <v>1499</v>
      </c>
      <c r="B337" s="2" t="s">
        <v>1500</v>
      </c>
      <c r="C337" s="2" t="s">
        <v>14</v>
      </c>
      <c r="D337" s="2" t="s">
        <v>15</v>
      </c>
      <c r="E337" s="2" t="s">
        <v>23</v>
      </c>
      <c r="F337" s="3">
        <f>+5491168759472</f>
        <v>5491168759472</v>
      </c>
      <c r="G337" s="2" t="s">
        <v>1501</v>
      </c>
      <c r="H337" s="2" t="s">
        <v>25</v>
      </c>
      <c r="I337" s="2" t="s">
        <v>26</v>
      </c>
      <c r="J337" s="2" t="s">
        <v>1280</v>
      </c>
      <c r="K337" s="4">
        <v>46141.0</v>
      </c>
      <c r="L337" s="2" t="s">
        <v>1502</v>
      </c>
    </row>
    <row r="338">
      <c r="A338" s="2" t="s">
        <v>1503</v>
      </c>
      <c r="B338" s="2" t="s">
        <v>1504</v>
      </c>
      <c r="C338" s="2" t="s">
        <v>14</v>
      </c>
      <c r="D338" s="2" t="s">
        <v>15</v>
      </c>
      <c r="E338" s="2" t="s">
        <v>23</v>
      </c>
      <c r="F338" s="3">
        <f>+5493874142483</f>
        <v>5493874142483</v>
      </c>
      <c r="G338" s="2" t="s">
        <v>1505</v>
      </c>
      <c r="H338" s="2" t="s">
        <v>725</v>
      </c>
      <c r="I338" s="2" t="s">
        <v>725</v>
      </c>
      <c r="J338" s="2" t="s">
        <v>219</v>
      </c>
      <c r="K338" s="4">
        <v>46141.0</v>
      </c>
      <c r="L338" s="2" t="s">
        <v>1506</v>
      </c>
    </row>
    <row r="339">
      <c r="A339" s="2" t="s">
        <v>1507</v>
      </c>
      <c r="B339" s="2" t="s">
        <v>1508</v>
      </c>
      <c r="C339" s="2" t="s">
        <v>14</v>
      </c>
      <c r="D339" s="2" t="s">
        <v>15</v>
      </c>
      <c r="E339" s="2" t="s">
        <v>23</v>
      </c>
      <c r="F339" s="3">
        <f>+5491138698644</f>
        <v>5491138698644</v>
      </c>
      <c r="G339" s="2" t="s">
        <v>1509</v>
      </c>
      <c r="H339" s="2" t="s">
        <v>25</v>
      </c>
      <c r="I339" s="2" t="s">
        <v>84</v>
      </c>
      <c r="J339" s="2" t="s">
        <v>85</v>
      </c>
      <c r="K339" s="4">
        <v>46141.0</v>
      </c>
      <c r="L339" s="2" t="s">
        <v>1510</v>
      </c>
    </row>
    <row r="340">
      <c r="A340" s="2" t="s">
        <v>1511</v>
      </c>
      <c r="B340" s="2" t="s">
        <v>1512</v>
      </c>
      <c r="C340" s="2" t="s">
        <v>14</v>
      </c>
      <c r="D340" s="2" t="s">
        <v>15</v>
      </c>
      <c r="E340" s="2" t="s">
        <v>23</v>
      </c>
      <c r="F340" s="3">
        <f>+5493516655398</f>
        <v>5493516655398</v>
      </c>
      <c r="G340" s="2" t="s">
        <v>1513</v>
      </c>
      <c r="H340" s="2" t="s">
        <v>18</v>
      </c>
      <c r="I340" s="2" t="s">
        <v>18</v>
      </c>
      <c r="J340" s="2" t="s">
        <v>1514</v>
      </c>
      <c r="K340" s="4">
        <v>46141.0</v>
      </c>
      <c r="L340" s="2" t="s">
        <v>1515</v>
      </c>
    </row>
    <row r="341">
      <c r="A341" s="2" t="s">
        <v>1516</v>
      </c>
      <c r="B341" s="2" t="s">
        <v>1517</v>
      </c>
      <c r="C341" s="2" t="s">
        <v>14</v>
      </c>
      <c r="D341" s="2" t="s">
        <v>15</v>
      </c>
      <c r="E341" s="2" t="s">
        <v>23</v>
      </c>
      <c r="F341" s="3">
        <f>+5493815703144</f>
        <v>5493815703144</v>
      </c>
      <c r="G341" s="2" t="s">
        <v>1518</v>
      </c>
      <c r="H341" s="2" t="s">
        <v>55</v>
      </c>
      <c r="I341" s="2" t="s">
        <v>883</v>
      </c>
      <c r="J341" s="2" t="s">
        <v>1484</v>
      </c>
      <c r="K341" s="4">
        <v>46141.0</v>
      </c>
      <c r="L341" s="2" t="s">
        <v>1519</v>
      </c>
    </row>
    <row r="342">
      <c r="A342" s="2" t="s">
        <v>1520</v>
      </c>
      <c r="B342" s="2" t="s">
        <v>1521</v>
      </c>
      <c r="C342" s="2" t="s">
        <v>14</v>
      </c>
      <c r="D342" s="2" t="s">
        <v>15</v>
      </c>
      <c r="E342" s="2" t="s">
        <v>23</v>
      </c>
      <c r="F342" s="3">
        <f>+5493518151404</f>
        <v>5493518151404</v>
      </c>
      <c r="G342" s="2" t="s">
        <v>1522</v>
      </c>
      <c r="H342" s="2" t="s">
        <v>18</v>
      </c>
      <c r="I342" s="2" t="s">
        <v>18</v>
      </c>
      <c r="J342" s="2" t="s">
        <v>1523</v>
      </c>
      <c r="K342" s="4">
        <v>46141.0</v>
      </c>
      <c r="L342" s="2" t="s">
        <v>1524</v>
      </c>
    </row>
    <row r="343">
      <c r="A343" s="2" t="s">
        <v>1525</v>
      </c>
      <c r="B343" s="2" t="s">
        <v>1526</v>
      </c>
      <c r="C343" s="2" t="s">
        <v>185</v>
      </c>
      <c r="D343" s="2" t="s">
        <v>15</v>
      </c>
      <c r="E343" s="2" t="s">
        <v>23</v>
      </c>
      <c r="F343" s="3">
        <f>+5491126524958</f>
        <v>5491126524958</v>
      </c>
      <c r="G343" s="2" t="s">
        <v>1527</v>
      </c>
      <c r="H343" s="2" t="s">
        <v>25</v>
      </c>
      <c r="I343" s="2" t="s">
        <v>49</v>
      </c>
      <c r="J343" s="2" t="s">
        <v>50</v>
      </c>
      <c r="K343" s="4">
        <v>46141.0</v>
      </c>
      <c r="L343" s="2" t="s">
        <v>1528</v>
      </c>
    </row>
    <row r="344">
      <c r="A344" s="2" t="s">
        <v>1529</v>
      </c>
      <c r="B344" s="2" t="s">
        <v>1530</v>
      </c>
      <c r="C344" s="2" t="s">
        <v>14</v>
      </c>
      <c r="D344" s="2" t="s">
        <v>15</v>
      </c>
      <c r="E344" s="2" t="s">
        <v>23</v>
      </c>
      <c r="F344" s="3">
        <f>+5493412557290</f>
        <v>5493412557290</v>
      </c>
      <c r="G344" s="2" t="s">
        <v>1531</v>
      </c>
      <c r="H344" s="2" t="s">
        <v>65</v>
      </c>
      <c r="I344" s="2" t="s">
        <v>218</v>
      </c>
      <c r="J344" s="2" t="s">
        <v>1532</v>
      </c>
      <c r="K344" s="4">
        <v>46141.0</v>
      </c>
      <c r="L344" s="2" t="s">
        <v>1533</v>
      </c>
    </row>
    <row r="345">
      <c r="A345" s="2" t="s">
        <v>1534</v>
      </c>
      <c r="B345" s="2" t="s">
        <v>1535</v>
      </c>
      <c r="C345" s="2" t="s">
        <v>14</v>
      </c>
      <c r="D345" s="2" t="s">
        <v>15</v>
      </c>
      <c r="E345" s="2" t="s">
        <v>23</v>
      </c>
      <c r="F345" s="3">
        <f>+5491128841549</f>
        <v>5491128841549</v>
      </c>
      <c r="G345" s="2" t="s">
        <v>1536</v>
      </c>
      <c r="H345" s="2" t="s">
        <v>25</v>
      </c>
      <c r="I345" s="2" t="s">
        <v>84</v>
      </c>
      <c r="J345" s="2" t="s">
        <v>744</v>
      </c>
      <c r="K345" s="4">
        <v>46141.0</v>
      </c>
      <c r="L345" s="2" t="s">
        <v>1537</v>
      </c>
    </row>
    <row r="346">
      <c r="A346" s="2" t="s">
        <v>1538</v>
      </c>
      <c r="B346" s="2" t="s">
        <v>1539</v>
      </c>
      <c r="C346" s="2" t="s">
        <v>14</v>
      </c>
      <c r="D346" s="2" t="s">
        <v>15</v>
      </c>
      <c r="E346" s="2" t="s">
        <v>23</v>
      </c>
      <c r="F346" s="3">
        <f>+5493513262815</f>
        <v>5493513262815</v>
      </c>
      <c r="G346" s="2" t="s">
        <v>1540</v>
      </c>
      <c r="H346" s="2" t="s">
        <v>18</v>
      </c>
      <c r="I346" s="2" t="s">
        <v>18</v>
      </c>
      <c r="J346" s="2" t="s">
        <v>1056</v>
      </c>
      <c r="K346" s="4">
        <v>46141.0</v>
      </c>
      <c r="L346" s="2" t="s">
        <v>1541</v>
      </c>
    </row>
    <row r="347">
      <c r="A347" s="2" t="s">
        <v>1542</v>
      </c>
      <c r="B347" s="2" t="s">
        <v>1543</v>
      </c>
      <c r="C347" s="2" t="s">
        <v>14</v>
      </c>
      <c r="D347" s="2" t="s">
        <v>15</v>
      </c>
      <c r="E347" s="2" t="s">
        <v>23</v>
      </c>
      <c r="F347" s="3">
        <f>+542617004779</f>
        <v>542617004779</v>
      </c>
      <c r="G347" s="2" t="s">
        <v>1544</v>
      </c>
      <c r="H347" s="2" t="s">
        <v>71</v>
      </c>
      <c r="I347" s="2" t="s">
        <v>1156</v>
      </c>
      <c r="J347" s="2" t="s">
        <v>1545</v>
      </c>
      <c r="K347" s="4">
        <v>46141.0</v>
      </c>
      <c r="L347" s="2" t="s">
        <v>1546</v>
      </c>
    </row>
    <row r="348">
      <c r="A348" s="2" t="s">
        <v>1547</v>
      </c>
      <c r="B348" s="2" t="s">
        <v>1548</v>
      </c>
      <c r="C348" s="2" t="s">
        <v>14</v>
      </c>
      <c r="D348" s="2" t="s">
        <v>15</v>
      </c>
      <c r="E348" s="2" t="s">
        <v>16</v>
      </c>
      <c r="F348" s="3">
        <f>+5491149973720</f>
        <v>5491149973720</v>
      </c>
      <c r="G348" s="2" t="s">
        <v>1549</v>
      </c>
      <c r="H348" s="2" t="s">
        <v>25</v>
      </c>
      <c r="I348" s="2" t="s">
        <v>357</v>
      </c>
      <c r="J348" s="2" t="s">
        <v>357</v>
      </c>
      <c r="K348" s="4">
        <v>46141.0</v>
      </c>
      <c r="L348" s="2" t="s">
        <v>1550</v>
      </c>
    </row>
    <row r="349">
      <c r="A349" s="2" t="s">
        <v>1551</v>
      </c>
      <c r="B349" s="2" t="s">
        <v>1552</v>
      </c>
      <c r="C349" s="2" t="s">
        <v>14</v>
      </c>
      <c r="D349" s="2" t="s">
        <v>15</v>
      </c>
      <c r="E349" s="2" t="s">
        <v>23</v>
      </c>
      <c r="F349" s="3">
        <f>+5492233483614</f>
        <v>5492233483614</v>
      </c>
      <c r="G349" s="2" t="s">
        <v>1553</v>
      </c>
      <c r="H349" s="2" t="s">
        <v>25</v>
      </c>
      <c r="I349" s="2" t="s">
        <v>649</v>
      </c>
      <c r="J349" s="2" t="s">
        <v>1554</v>
      </c>
      <c r="K349" s="4">
        <v>46141.0</v>
      </c>
      <c r="L349" s="2" t="s">
        <v>1555</v>
      </c>
    </row>
    <row r="350">
      <c r="A350" s="2" t="s">
        <v>1556</v>
      </c>
      <c r="B350" s="2" t="s">
        <v>1557</v>
      </c>
      <c r="C350" s="2" t="s">
        <v>14</v>
      </c>
      <c r="D350" s="2" t="s">
        <v>15</v>
      </c>
      <c r="E350" s="2" t="s">
        <v>23</v>
      </c>
      <c r="F350" s="3">
        <f>+5493874213373</f>
        <v>5493874213373</v>
      </c>
      <c r="G350" s="2" t="s">
        <v>1558</v>
      </c>
      <c r="H350" s="2" t="s">
        <v>725</v>
      </c>
      <c r="I350" s="2" t="s">
        <v>725</v>
      </c>
      <c r="J350" s="2" t="s">
        <v>219</v>
      </c>
      <c r="K350" s="4">
        <v>46141.0</v>
      </c>
      <c r="L350" s="2" t="s">
        <v>1559</v>
      </c>
    </row>
    <row r="351">
      <c r="A351" s="2" t="s">
        <v>1560</v>
      </c>
      <c r="B351" s="2" t="s">
        <v>1561</v>
      </c>
      <c r="C351" s="2" t="s">
        <v>14</v>
      </c>
      <c r="D351" s="2" t="s">
        <v>15</v>
      </c>
      <c r="E351" s="2" t="s">
        <v>23</v>
      </c>
      <c r="F351" s="3">
        <f>+5493492586097</f>
        <v>5493492586097</v>
      </c>
      <c r="G351" s="2" t="s">
        <v>1562</v>
      </c>
      <c r="H351" s="2" t="s">
        <v>65</v>
      </c>
      <c r="I351" s="2" t="s">
        <v>1000</v>
      </c>
      <c r="J351" s="2" t="s">
        <v>1000</v>
      </c>
      <c r="K351" s="4">
        <v>46141.0</v>
      </c>
      <c r="L351" s="2" t="s">
        <v>1563</v>
      </c>
    </row>
    <row r="352">
      <c r="A352" s="2" t="s">
        <v>1564</v>
      </c>
      <c r="B352" s="2" t="s">
        <v>1565</v>
      </c>
      <c r="C352" s="2" t="s">
        <v>14</v>
      </c>
      <c r="D352" s="2" t="s">
        <v>15</v>
      </c>
      <c r="E352" s="2" t="s">
        <v>23</v>
      </c>
      <c r="F352" s="3">
        <f>+5491135767863</f>
        <v>5491135767863</v>
      </c>
      <c r="G352" s="2" t="s">
        <v>1566</v>
      </c>
      <c r="H352" s="2" t="s">
        <v>32</v>
      </c>
      <c r="I352" s="2" t="s">
        <v>25</v>
      </c>
      <c r="J352" s="2" t="s">
        <v>403</v>
      </c>
      <c r="K352" s="4">
        <v>46141.0</v>
      </c>
      <c r="L352" s="2" t="s">
        <v>1567</v>
      </c>
    </row>
    <row r="353">
      <c r="A353" s="2" t="s">
        <v>1568</v>
      </c>
      <c r="B353" s="2" t="s">
        <v>1569</v>
      </c>
      <c r="C353" s="2" t="s">
        <v>14</v>
      </c>
      <c r="D353" s="2" t="s">
        <v>15</v>
      </c>
      <c r="E353" s="2" t="s">
        <v>23</v>
      </c>
      <c r="F353" s="3">
        <f>+5491135761655</f>
        <v>5491135761655</v>
      </c>
      <c r="G353" s="2" t="s">
        <v>1570</v>
      </c>
      <c r="H353" s="2" t="s">
        <v>32</v>
      </c>
      <c r="I353" s="2" t="s">
        <v>25</v>
      </c>
      <c r="J353" s="2" t="s">
        <v>373</v>
      </c>
      <c r="K353" s="4">
        <v>46141.0</v>
      </c>
      <c r="L353" s="2" t="s">
        <v>1571</v>
      </c>
    </row>
    <row r="354">
      <c r="A354" s="2" t="s">
        <v>1572</v>
      </c>
      <c r="B354" s="2" t="s">
        <v>1573</v>
      </c>
      <c r="C354" s="2" t="s">
        <v>14</v>
      </c>
      <c r="D354" s="2" t="s">
        <v>15</v>
      </c>
      <c r="E354" s="2" t="s">
        <v>23</v>
      </c>
      <c r="F354" s="3">
        <f>+5491157828614</f>
        <v>5491157828614</v>
      </c>
      <c r="G354" s="2" t="s">
        <v>1574</v>
      </c>
      <c r="H354" s="2" t="s">
        <v>32</v>
      </c>
      <c r="I354" s="2" t="s">
        <v>25</v>
      </c>
      <c r="J354" s="2" t="s">
        <v>213</v>
      </c>
      <c r="K354" s="4">
        <v>46141.0</v>
      </c>
      <c r="L354" s="2" t="s">
        <v>1575</v>
      </c>
    </row>
    <row r="355">
      <c r="A355" s="2" t="s">
        <v>1576</v>
      </c>
      <c r="B355" s="2" t="s">
        <v>1577</v>
      </c>
      <c r="C355" s="2" t="s">
        <v>14</v>
      </c>
      <c r="D355" s="2" t="s">
        <v>15</v>
      </c>
      <c r="E355" s="2" t="s">
        <v>16</v>
      </c>
      <c r="F355" s="3">
        <f>+5492234798281</f>
        <v>5492234798281</v>
      </c>
      <c r="G355" s="2" t="s">
        <v>1578</v>
      </c>
      <c r="H355" s="2" t="s">
        <v>55</v>
      </c>
      <c r="I355" s="2" t="s">
        <v>883</v>
      </c>
      <c r="J355" s="2" t="s">
        <v>1579</v>
      </c>
      <c r="K355" s="4">
        <v>46140.0</v>
      </c>
      <c r="L355" s="2" t="s">
        <v>1580</v>
      </c>
    </row>
    <row r="356">
      <c r="A356" s="2" t="s">
        <v>1581</v>
      </c>
      <c r="B356" s="2" t="s">
        <v>1582</v>
      </c>
      <c r="C356" s="2" t="s">
        <v>185</v>
      </c>
      <c r="D356" s="2" t="s">
        <v>15</v>
      </c>
      <c r="E356" s="2" t="s">
        <v>23</v>
      </c>
      <c r="F356" s="3">
        <f>+5491153064288</f>
        <v>5491153064288</v>
      </c>
      <c r="G356" s="2" t="s">
        <v>1583</v>
      </c>
      <c r="H356" s="2" t="s">
        <v>25</v>
      </c>
      <c r="I356" s="2" t="s">
        <v>357</v>
      </c>
      <c r="J356" s="2" t="s">
        <v>1584</v>
      </c>
      <c r="K356" s="4">
        <v>46140.0</v>
      </c>
      <c r="L356" s="2" t="s">
        <v>1585</v>
      </c>
    </row>
    <row r="357">
      <c r="A357" s="2" t="s">
        <v>1586</v>
      </c>
      <c r="B357" s="2" t="s">
        <v>1587</v>
      </c>
      <c r="C357" s="2" t="s">
        <v>14</v>
      </c>
      <c r="D357" s="2" t="s">
        <v>15</v>
      </c>
      <c r="E357" s="2" t="s">
        <v>23</v>
      </c>
      <c r="F357" s="3">
        <f>+5491134433384</f>
        <v>5491134433384</v>
      </c>
      <c r="G357" s="2" t="s">
        <v>1588</v>
      </c>
      <c r="H357" s="2" t="s">
        <v>25</v>
      </c>
      <c r="I357" s="2" t="s">
        <v>118</v>
      </c>
      <c r="J357" s="2" t="s">
        <v>118</v>
      </c>
      <c r="K357" s="4">
        <v>46140.0</v>
      </c>
      <c r="L357" s="2" t="s">
        <v>1589</v>
      </c>
    </row>
    <row r="358">
      <c r="A358" s="2" t="s">
        <v>1590</v>
      </c>
      <c r="B358" s="2" t="s">
        <v>1591</v>
      </c>
      <c r="C358" s="2" t="s">
        <v>14</v>
      </c>
      <c r="D358" s="2" t="s">
        <v>15</v>
      </c>
      <c r="E358" s="2" t="s">
        <v>16</v>
      </c>
      <c r="F358" s="3">
        <f>+5491111111111</f>
        <v>5491111111111</v>
      </c>
      <c r="G358" s="2" t="s">
        <v>1592</v>
      </c>
      <c r="H358" s="2" t="s">
        <v>32</v>
      </c>
      <c r="I358" s="2" t="s">
        <v>25</v>
      </c>
      <c r="J358" s="2" t="s">
        <v>1593</v>
      </c>
      <c r="K358" s="4">
        <v>46140.0</v>
      </c>
      <c r="L358" s="2" t="s">
        <v>1594</v>
      </c>
    </row>
    <row r="359">
      <c r="A359" s="2" t="s">
        <v>1595</v>
      </c>
      <c r="B359" s="2" t="s">
        <v>1596</v>
      </c>
      <c r="C359" s="2" t="s">
        <v>14</v>
      </c>
      <c r="D359" s="2" t="s">
        <v>15</v>
      </c>
      <c r="E359" s="2" t="s">
        <v>23</v>
      </c>
      <c r="F359" s="3">
        <f>+5492615768887</f>
        <v>5492615768887</v>
      </c>
      <c r="G359" s="2" t="s">
        <v>1597</v>
      </c>
      <c r="H359" s="2" t="s">
        <v>71</v>
      </c>
      <c r="I359" s="2" t="s">
        <v>71</v>
      </c>
      <c r="J359" s="2" t="s">
        <v>1598</v>
      </c>
      <c r="K359" s="4">
        <v>46140.0</v>
      </c>
      <c r="L359" s="2" t="s">
        <v>1599</v>
      </c>
    </row>
    <row r="360">
      <c r="A360" s="2" t="s">
        <v>1600</v>
      </c>
      <c r="B360" s="2" t="s">
        <v>1601</v>
      </c>
      <c r="C360" s="2" t="s">
        <v>14</v>
      </c>
      <c r="D360" s="2" t="s">
        <v>15</v>
      </c>
      <c r="E360" s="2" t="s">
        <v>23</v>
      </c>
      <c r="F360" s="3">
        <f>+5491158315049</f>
        <v>5491158315049</v>
      </c>
      <c r="G360" s="2" t="s">
        <v>1602</v>
      </c>
      <c r="H360" s="2" t="s">
        <v>25</v>
      </c>
      <c r="I360" s="2" t="s">
        <v>26</v>
      </c>
      <c r="J360" s="2" t="s">
        <v>455</v>
      </c>
      <c r="K360" s="4">
        <v>46140.0</v>
      </c>
      <c r="L360" s="2" t="s">
        <v>1603</v>
      </c>
    </row>
    <row r="361">
      <c r="A361" s="2" t="s">
        <v>1604</v>
      </c>
      <c r="B361" s="2" t="s">
        <v>1605</v>
      </c>
      <c r="C361" s="2" t="s">
        <v>14</v>
      </c>
      <c r="D361" s="2" t="s">
        <v>15</v>
      </c>
      <c r="E361" s="2" t="s">
        <v>23</v>
      </c>
      <c r="F361" s="3">
        <f>+5491162622733</f>
        <v>5491162622733</v>
      </c>
      <c r="G361" s="2" t="s">
        <v>1606</v>
      </c>
      <c r="H361" s="2" t="s">
        <v>32</v>
      </c>
      <c r="I361" s="2" t="s">
        <v>25</v>
      </c>
      <c r="J361" s="2" t="s">
        <v>948</v>
      </c>
      <c r="K361" s="4">
        <v>46140.0</v>
      </c>
      <c r="L361" s="2" t="s">
        <v>1607</v>
      </c>
    </row>
    <row r="362">
      <c r="A362" s="2" t="s">
        <v>1608</v>
      </c>
      <c r="B362" s="2" t="s">
        <v>1609</v>
      </c>
      <c r="C362" s="2" t="s">
        <v>14</v>
      </c>
      <c r="D362" s="2" t="s">
        <v>15</v>
      </c>
      <c r="E362" s="2" t="s">
        <v>23</v>
      </c>
      <c r="F362" s="3">
        <f>+5493512791603</f>
        <v>5493512791603</v>
      </c>
      <c r="G362" s="2" t="s">
        <v>1610</v>
      </c>
      <c r="H362" s="2" t="s">
        <v>18</v>
      </c>
      <c r="I362" s="2" t="s">
        <v>18</v>
      </c>
      <c r="J362" s="2" t="s">
        <v>1611</v>
      </c>
      <c r="K362" s="4">
        <v>46140.0</v>
      </c>
      <c r="L362" s="2" t="s">
        <v>1612</v>
      </c>
    </row>
    <row r="363">
      <c r="A363" s="2" t="s">
        <v>1613</v>
      </c>
      <c r="B363" s="2" t="s">
        <v>1614</v>
      </c>
      <c r="C363" s="2" t="s">
        <v>14</v>
      </c>
      <c r="D363" s="2" t="s">
        <v>15</v>
      </c>
      <c r="E363" s="2" t="s">
        <v>23</v>
      </c>
      <c r="F363" s="3">
        <f>+54901127887576</f>
        <v>54901127887576</v>
      </c>
      <c r="G363" s="2" t="s">
        <v>1615</v>
      </c>
      <c r="H363" s="2" t="s">
        <v>25</v>
      </c>
      <c r="I363" s="2" t="s">
        <v>97</v>
      </c>
      <c r="J363" s="2" t="s">
        <v>1335</v>
      </c>
      <c r="K363" s="4">
        <v>46140.0</v>
      </c>
      <c r="L363" s="2" t="s">
        <v>1616</v>
      </c>
    </row>
    <row r="364">
      <c r="A364" s="2" t="s">
        <v>1617</v>
      </c>
      <c r="B364" s="2" t="s">
        <v>1618</v>
      </c>
      <c r="C364" s="2" t="s">
        <v>14</v>
      </c>
      <c r="D364" s="2" t="s">
        <v>15</v>
      </c>
      <c r="E364" s="2" t="s">
        <v>23</v>
      </c>
      <c r="F364" s="3">
        <f>+5491126208736</f>
        <v>5491126208736</v>
      </c>
      <c r="G364" s="2" t="s">
        <v>1619</v>
      </c>
      <c r="H364" s="2" t="s">
        <v>25</v>
      </c>
      <c r="I364" s="2" t="s">
        <v>26</v>
      </c>
      <c r="J364" s="2" t="s">
        <v>1620</v>
      </c>
      <c r="K364" s="4">
        <v>46140.0</v>
      </c>
      <c r="L364" s="2" t="s">
        <v>1621</v>
      </c>
    </row>
    <row r="365">
      <c r="A365" s="2" t="s">
        <v>1622</v>
      </c>
      <c r="B365" s="2" t="s">
        <v>1623</v>
      </c>
      <c r="C365" s="2" t="s">
        <v>185</v>
      </c>
      <c r="D365" s="2" t="s">
        <v>15</v>
      </c>
      <c r="E365" s="2" t="s">
        <v>16</v>
      </c>
      <c r="F365" s="3">
        <f>+5491150107487</f>
        <v>5491150107487</v>
      </c>
      <c r="G365" s="2" t="s">
        <v>1624</v>
      </c>
      <c r="H365" s="2" t="s">
        <v>71</v>
      </c>
      <c r="I365" s="2" t="s">
        <v>1625</v>
      </c>
      <c r="J365" s="2" t="s">
        <v>1626</v>
      </c>
      <c r="K365" s="4">
        <v>46140.0</v>
      </c>
      <c r="L365" s="2" t="s">
        <v>1627</v>
      </c>
    </row>
    <row r="366">
      <c r="A366" s="2" t="s">
        <v>1628</v>
      </c>
      <c r="B366" s="2" t="s">
        <v>1629</v>
      </c>
      <c r="C366" s="2" t="s">
        <v>14</v>
      </c>
      <c r="D366" s="2" t="s">
        <v>15</v>
      </c>
      <c r="E366" s="2" t="s">
        <v>16</v>
      </c>
      <c r="F366" s="3">
        <f>+5491133250951</f>
        <v>5491133250951</v>
      </c>
      <c r="G366" s="2" t="s">
        <v>1630</v>
      </c>
      <c r="H366" s="2" t="s">
        <v>25</v>
      </c>
      <c r="I366" s="2" t="s">
        <v>49</v>
      </c>
      <c r="J366" s="2" t="s">
        <v>1631</v>
      </c>
      <c r="K366" s="4">
        <v>46140.0</v>
      </c>
      <c r="L366" s="2" t="s">
        <v>1632</v>
      </c>
    </row>
    <row r="367">
      <c r="A367" s="2" t="s">
        <v>1633</v>
      </c>
      <c r="B367" s="2" t="s">
        <v>1634</v>
      </c>
      <c r="C367" s="2" t="s">
        <v>14</v>
      </c>
      <c r="D367" s="2" t="s">
        <v>15</v>
      </c>
      <c r="E367" s="2" t="s">
        <v>23</v>
      </c>
      <c r="F367" s="3">
        <f>+5493412707934</f>
        <v>5493412707934</v>
      </c>
      <c r="G367" s="2" t="s">
        <v>1635</v>
      </c>
      <c r="H367" s="2" t="s">
        <v>65</v>
      </c>
      <c r="I367" s="2" t="s">
        <v>218</v>
      </c>
      <c r="J367" s="2" t="s">
        <v>1636</v>
      </c>
      <c r="K367" s="4">
        <v>46140.0</v>
      </c>
      <c r="L367" s="2" t="s">
        <v>1637</v>
      </c>
    </row>
    <row r="368">
      <c r="A368" s="2" t="s">
        <v>1638</v>
      </c>
      <c r="B368" s="2" t="s">
        <v>1639</v>
      </c>
      <c r="C368" s="2" t="s">
        <v>14</v>
      </c>
      <c r="D368" s="2" t="s">
        <v>15</v>
      </c>
      <c r="E368" s="2" t="s">
        <v>16</v>
      </c>
      <c r="F368" s="3">
        <f>+5491111111111</f>
        <v>5491111111111</v>
      </c>
      <c r="G368" s="2" t="s">
        <v>1640</v>
      </c>
      <c r="H368" s="2" t="s">
        <v>25</v>
      </c>
      <c r="I368" s="2" t="s">
        <v>97</v>
      </c>
      <c r="J368" s="2" t="s">
        <v>97</v>
      </c>
      <c r="K368" s="4">
        <v>46140.0</v>
      </c>
      <c r="L368" s="2" t="s">
        <v>1641</v>
      </c>
    </row>
    <row r="369">
      <c r="A369" s="2" t="s">
        <v>1642</v>
      </c>
      <c r="B369" s="2" t="s">
        <v>1643</v>
      </c>
      <c r="C369" s="2" t="s">
        <v>14</v>
      </c>
      <c r="D369" s="2" t="s">
        <v>15</v>
      </c>
      <c r="E369" s="2" t="s">
        <v>23</v>
      </c>
      <c r="F369" s="3">
        <f>+54901130483768</f>
        <v>54901130483768</v>
      </c>
      <c r="G369" s="2" t="s">
        <v>1644</v>
      </c>
      <c r="H369" s="2" t="s">
        <v>25</v>
      </c>
      <c r="I369" s="2" t="s">
        <v>118</v>
      </c>
      <c r="J369" s="2" t="s">
        <v>124</v>
      </c>
      <c r="K369" s="4">
        <v>46140.0</v>
      </c>
      <c r="L369" s="2" t="s">
        <v>1645</v>
      </c>
    </row>
    <row r="370">
      <c r="A370" s="2" t="s">
        <v>1646</v>
      </c>
      <c r="B370" s="2" t="s">
        <v>1647</v>
      </c>
      <c r="C370" s="2" t="s">
        <v>14</v>
      </c>
      <c r="D370" s="2" t="s">
        <v>15</v>
      </c>
      <c r="E370" s="2" t="s">
        <v>23</v>
      </c>
      <c r="F370" s="3">
        <f>+5493512054549</f>
        <v>5493512054549</v>
      </c>
      <c r="G370" s="2" t="s">
        <v>1648</v>
      </c>
      <c r="H370" s="2" t="s">
        <v>18</v>
      </c>
      <c r="I370" s="2" t="s">
        <v>18</v>
      </c>
      <c r="J370" s="2" t="s">
        <v>1649</v>
      </c>
      <c r="K370" s="4">
        <v>46140.0</v>
      </c>
      <c r="L370" s="2" t="s">
        <v>1650</v>
      </c>
    </row>
    <row r="371">
      <c r="A371" s="2" t="s">
        <v>1651</v>
      </c>
      <c r="B371" s="2" t="s">
        <v>1652</v>
      </c>
      <c r="C371" s="2" t="s">
        <v>14</v>
      </c>
      <c r="D371" s="2" t="s">
        <v>15</v>
      </c>
      <c r="E371" s="2" t="s">
        <v>23</v>
      </c>
      <c r="F371" s="3">
        <f>+5491126833277</f>
        <v>5491126833277</v>
      </c>
      <c r="G371" s="2" t="s">
        <v>1653</v>
      </c>
      <c r="H371" s="2" t="s">
        <v>25</v>
      </c>
      <c r="I371" s="2" t="s">
        <v>97</v>
      </c>
      <c r="J371" s="2" t="s">
        <v>97</v>
      </c>
      <c r="K371" s="4">
        <v>46140.0</v>
      </c>
      <c r="L371" s="2" t="s">
        <v>1654</v>
      </c>
    </row>
    <row r="372">
      <c r="A372" s="2" t="s">
        <v>1655</v>
      </c>
      <c r="B372" s="2" t="s">
        <v>1656</v>
      </c>
      <c r="C372" s="2" t="s">
        <v>14</v>
      </c>
      <c r="D372" s="2" t="s">
        <v>15</v>
      </c>
      <c r="E372" s="2" t="s">
        <v>23</v>
      </c>
      <c r="F372" s="3">
        <f>+5491127181151</f>
        <v>5491127181151</v>
      </c>
      <c r="G372" s="2" t="s">
        <v>1657</v>
      </c>
      <c r="H372" s="2" t="s">
        <v>25</v>
      </c>
      <c r="I372" s="2" t="s">
        <v>38</v>
      </c>
      <c r="J372" s="2" t="s">
        <v>103</v>
      </c>
      <c r="K372" s="4">
        <v>46140.0</v>
      </c>
      <c r="L372" s="2" t="s">
        <v>1658</v>
      </c>
    </row>
    <row r="373">
      <c r="A373" s="2" t="s">
        <v>1659</v>
      </c>
      <c r="B373" s="2" t="s">
        <v>1660</v>
      </c>
      <c r="C373" s="2" t="s">
        <v>14</v>
      </c>
      <c r="D373" s="2" t="s">
        <v>15</v>
      </c>
      <c r="E373" s="2" t="s">
        <v>23</v>
      </c>
      <c r="F373" s="3">
        <f>+5493875980379</f>
        <v>5493875980379</v>
      </c>
      <c r="G373" s="2" t="s">
        <v>1661</v>
      </c>
      <c r="H373" s="2" t="s">
        <v>725</v>
      </c>
      <c r="I373" s="2" t="s">
        <v>725</v>
      </c>
      <c r="J373" s="2" t="s">
        <v>1662</v>
      </c>
      <c r="K373" s="4">
        <v>46140.0</v>
      </c>
      <c r="L373" s="2" t="s">
        <v>1663</v>
      </c>
    </row>
    <row r="374">
      <c r="A374" s="2" t="s">
        <v>1664</v>
      </c>
      <c r="B374" s="2" t="s">
        <v>1665</v>
      </c>
      <c r="C374" s="2" t="s">
        <v>14</v>
      </c>
      <c r="D374" s="2" t="s">
        <v>15</v>
      </c>
      <c r="E374" s="2" t="s">
        <v>23</v>
      </c>
      <c r="F374" s="3">
        <f>+5493517199518</f>
        <v>5493517199518</v>
      </c>
      <c r="G374" s="2" t="s">
        <v>1666</v>
      </c>
      <c r="H374" s="2" t="s">
        <v>18</v>
      </c>
      <c r="I374" s="2" t="s">
        <v>18</v>
      </c>
      <c r="J374" s="2" t="s">
        <v>1129</v>
      </c>
      <c r="K374" s="4">
        <v>46140.0</v>
      </c>
      <c r="L374" s="2" t="s">
        <v>1667</v>
      </c>
    </row>
    <row r="375">
      <c r="A375" s="2" t="s">
        <v>1668</v>
      </c>
      <c r="B375" s="2" t="s">
        <v>1669</v>
      </c>
      <c r="C375" s="2" t="s">
        <v>14</v>
      </c>
      <c r="D375" s="2" t="s">
        <v>15</v>
      </c>
      <c r="E375" s="2" t="s">
        <v>23</v>
      </c>
      <c r="F375" s="3">
        <f>+5492323557064</f>
        <v>5492323557064</v>
      </c>
      <c r="G375" s="2" t="s">
        <v>1670</v>
      </c>
      <c r="H375" s="2" t="s">
        <v>25</v>
      </c>
      <c r="I375" s="2" t="s">
        <v>1671</v>
      </c>
      <c r="J375" s="2" t="s">
        <v>1671</v>
      </c>
      <c r="K375" s="4">
        <v>46140.0</v>
      </c>
      <c r="L375" s="2" t="s">
        <v>1672</v>
      </c>
    </row>
    <row r="376">
      <c r="A376" s="2" t="s">
        <v>1673</v>
      </c>
      <c r="B376" s="2" t="s">
        <v>1674</v>
      </c>
      <c r="C376" s="2" t="s">
        <v>14</v>
      </c>
      <c r="D376" s="2" t="s">
        <v>15</v>
      </c>
      <c r="E376" s="2" t="s">
        <v>23</v>
      </c>
      <c r="F376" s="3">
        <f>+5491122400200</f>
        <v>5491122400200</v>
      </c>
      <c r="G376" s="2" t="s">
        <v>1675</v>
      </c>
      <c r="H376" s="2" t="s">
        <v>32</v>
      </c>
      <c r="I376" s="2" t="s">
        <v>25</v>
      </c>
      <c r="J376" s="2" t="s">
        <v>702</v>
      </c>
      <c r="K376" s="4">
        <v>46140.0</v>
      </c>
      <c r="L376" s="2" t="s">
        <v>1676</v>
      </c>
    </row>
    <row r="377">
      <c r="A377" s="2" t="s">
        <v>1677</v>
      </c>
      <c r="B377" s="2" t="s">
        <v>1678</v>
      </c>
      <c r="C377" s="2" t="s">
        <v>14</v>
      </c>
      <c r="D377" s="2" t="s">
        <v>15</v>
      </c>
      <c r="E377" s="2" t="s">
        <v>23</v>
      </c>
      <c r="F377" s="3">
        <f>+5492215625279</f>
        <v>5492215625279</v>
      </c>
      <c r="G377" s="2" t="s">
        <v>1679</v>
      </c>
      <c r="H377" s="2" t="s">
        <v>25</v>
      </c>
      <c r="I377" s="2" t="s">
        <v>44</v>
      </c>
      <c r="J377" s="2" t="s">
        <v>44</v>
      </c>
      <c r="K377" s="4">
        <v>46140.0</v>
      </c>
      <c r="L377" s="2" t="s">
        <v>1680</v>
      </c>
    </row>
    <row r="378">
      <c r="A378" s="2" t="s">
        <v>1681</v>
      </c>
      <c r="B378" s="2" t="s">
        <v>1682</v>
      </c>
      <c r="C378" s="2" t="s">
        <v>14</v>
      </c>
      <c r="D378" s="2" t="s">
        <v>15</v>
      </c>
      <c r="E378" s="2" t="s">
        <v>16</v>
      </c>
      <c r="F378" s="3">
        <f>+5492234798281</f>
        <v>5492234798281</v>
      </c>
      <c r="G378" s="2" t="s">
        <v>1683</v>
      </c>
      <c r="H378" s="2" t="s">
        <v>25</v>
      </c>
      <c r="I378" s="2" t="s">
        <v>44</v>
      </c>
      <c r="J378" s="2" t="s">
        <v>44</v>
      </c>
      <c r="K378" s="4">
        <v>46140.0</v>
      </c>
      <c r="L378" s="2" t="s">
        <v>1684</v>
      </c>
    </row>
    <row r="379">
      <c r="A379" s="2" t="s">
        <v>1685</v>
      </c>
      <c r="B379" s="2" t="s">
        <v>1686</v>
      </c>
      <c r="C379" s="2" t="s">
        <v>14</v>
      </c>
      <c r="D379" s="2" t="s">
        <v>15</v>
      </c>
      <c r="E379" s="2" t="s">
        <v>23</v>
      </c>
      <c r="F379" s="3">
        <f>+5491140244635</f>
        <v>5491140244635</v>
      </c>
      <c r="G379" s="2" t="s">
        <v>1687</v>
      </c>
      <c r="H379" s="2" t="s">
        <v>25</v>
      </c>
      <c r="I379" s="2" t="s">
        <v>971</v>
      </c>
      <c r="J379" s="2" t="s">
        <v>1688</v>
      </c>
      <c r="K379" s="4">
        <v>46140.0</v>
      </c>
      <c r="L379" s="2" t="s">
        <v>1689</v>
      </c>
    </row>
    <row r="380">
      <c r="A380" s="2" t="s">
        <v>1690</v>
      </c>
      <c r="B380" s="2" t="s">
        <v>1691</v>
      </c>
      <c r="C380" s="2" t="s">
        <v>14</v>
      </c>
      <c r="D380" s="2" t="s">
        <v>15</v>
      </c>
      <c r="E380" s="2" t="s">
        <v>16</v>
      </c>
      <c r="F380" s="3">
        <f>+5491160322593</f>
        <v>5491160322593</v>
      </c>
      <c r="G380" s="2" t="s">
        <v>1692</v>
      </c>
      <c r="H380" s="2" t="s">
        <v>32</v>
      </c>
      <c r="I380" s="2" t="s">
        <v>25</v>
      </c>
      <c r="J380" s="2" t="s">
        <v>373</v>
      </c>
      <c r="K380" s="4">
        <v>46140.0</v>
      </c>
      <c r="L380" s="2" t="s">
        <v>1693</v>
      </c>
    </row>
    <row r="381">
      <c r="A381" s="2" t="s">
        <v>1694</v>
      </c>
      <c r="B381" s="2" t="s">
        <v>1695</v>
      </c>
      <c r="C381" s="2" t="s">
        <v>14</v>
      </c>
      <c r="D381" s="2" t="s">
        <v>15</v>
      </c>
      <c r="E381" s="2" t="s">
        <v>16</v>
      </c>
      <c r="F381" s="3">
        <f>+5493512054549</f>
        <v>5493512054549</v>
      </c>
      <c r="G381" s="2" t="s">
        <v>1648</v>
      </c>
      <c r="H381" s="2" t="s">
        <v>18</v>
      </c>
      <c r="I381" s="2" t="s">
        <v>18</v>
      </c>
      <c r="J381" s="2" t="s">
        <v>1649</v>
      </c>
      <c r="K381" s="4">
        <v>46140.0</v>
      </c>
      <c r="L381" s="2" t="s">
        <v>1650</v>
      </c>
    </row>
    <row r="382">
      <c r="A382" s="2" t="s">
        <v>1696</v>
      </c>
      <c r="B382" s="2" t="s">
        <v>1697</v>
      </c>
      <c r="C382" s="2" t="s">
        <v>14</v>
      </c>
      <c r="D382" s="2" t="s">
        <v>15</v>
      </c>
      <c r="E382" s="2" t="s">
        <v>23</v>
      </c>
      <c r="F382" s="3">
        <f>+5491176535482</f>
        <v>5491176535482</v>
      </c>
      <c r="G382" s="2" t="s">
        <v>1698</v>
      </c>
      <c r="H382" s="2" t="s">
        <v>25</v>
      </c>
      <c r="I382" s="2" t="s">
        <v>84</v>
      </c>
      <c r="J382" s="2" t="s">
        <v>1699</v>
      </c>
      <c r="K382" s="4">
        <v>46140.0</v>
      </c>
      <c r="L382" s="2" t="s">
        <v>1700</v>
      </c>
    </row>
    <row r="383">
      <c r="A383" s="2" t="s">
        <v>1701</v>
      </c>
      <c r="B383" s="2" t="s">
        <v>1702</v>
      </c>
      <c r="C383" s="2" t="s">
        <v>14</v>
      </c>
      <c r="D383" s="2" t="s">
        <v>15</v>
      </c>
      <c r="E383" s="2" t="s">
        <v>23</v>
      </c>
      <c r="F383" s="3">
        <f>+5491156550982</f>
        <v>5491156550982</v>
      </c>
      <c r="G383" s="2" t="s">
        <v>1703</v>
      </c>
      <c r="H383" s="2" t="s">
        <v>25</v>
      </c>
      <c r="I383" s="2" t="s">
        <v>230</v>
      </c>
      <c r="J383" s="2" t="s">
        <v>304</v>
      </c>
      <c r="K383" s="4">
        <v>46140.0</v>
      </c>
      <c r="L383" s="2" t="s">
        <v>1704</v>
      </c>
    </row>
    <row r="384">
      <c r="A384" s="2" t="s">
        <v>1705</v>
      </c>
      <c r="B384" s="2" t="s">
        <v>1706</v>
      </c>
      <c r="C384" s="2" t="s">
        <v>14</v>
      </c>
      <c r="D384" s="2" t="s">
        <v>15</v>
      </c>
      <c r="E384" s="2" t="s">
        <v>23</v>
      </c>
      <c r="F384" s="3">
        <f>+5492914318435</f>
        <v>5492914318435</v>
      </c>
      <c r="G384" s="2" t="s">
        <v>1707</v>
      </c>
      <c r="H384" s="2" t="s">
        <v>25</v>
      </c>
      <c r="I384" s="2" t="s">
        <v>841</v>
      </c>
      <c r="J384" s="2" t="s">
        <v>219</v>
      </c>
      <c r="K384" s="4">
        <v>46140.0</v>
      </c>
      <c r="L384" s="2" t="s">
        <v>1708</v>
      </c>
    </row>
    <row r="385">
      <c r="A385" s="2" t="s">
        <v>1709</v>
      </c>
      <c r="B385" s="2" t="s">
        <v>1710</v>
      </c>
      <c r="C385" s="2" t="s">
        <v>14</v>
      </c>
      <c r="D385" s="2" t="s">
        <v>15</v>
      </c>
      <c r="E385" s="2" t="s">
        <v>16</v>
      </c>
      <c r="F385" s="3">
        <f>+5491168662776</f>
        <v>5491168662776</v>
      </c>
      <c r="G385" s="2" t="s">
        <v>1711</v>
      </c>
      <c r="H385" s="2" t="s">
        <v>25</v>
      </c>
      <c r="I385" s="2" t="s">
        <v>44</v>
      </c>
      <c r="J385" s="2" t="s">
        <v>468</v>
      </c>
      <c r="K385" s="4">
        <v>46140.0</v>
      </c>
      <c r="L385" s="2" t="s">
        <v>1712</v>
      </c>
    </row>
    <row r="386">
      <c r="A386" s="2" t="s">
        <v>1713</v>
      </c>
      <c r="B386" s="2" t="s">
        <v>1714</v>
      </c>
      <c r="C386" s="2" t="s">
        <v>14</v>
      </c>
      <c r="D386" s="2" t="s">
        <v>15</v>
      </c>
      <c r="E386" s="2" t="s">
        <v>16</v>
      </c>
      <c r="F386" s="3">
        <f>+5491151034144</f>
        <v>5491151034144</v>
      </c>
      <c r="G386" s="2" t="s">
        <v>1715</v>
      </c>
      <c r="H386" s="2" t="s">
        <v>25</v>
      </c>
      <c r="I386" s="2" t="s">
        <v>84</v>
      </c>
      <c r="J386" s="2" t="s">
        <v>84</v>
      </c>
      <c r="K386" s="4">
        <v>46140.0</v>
      </c>
      <c r="L386" s="2" t="s">
        <v>1716</v>
      </c>
    </row>
    <row r="387">
      <c r="A387" s="2" t="s">
        <v>1717</v>
      </c>
      <c r="B387" s="2" t="s">
        <v>1718</v>
      </c>
      <c r="C387" s="2" t="s">
        <v>14</v>
      </c>
      <c r="D387" s="2" t="s">
        <v>15</v>
      </c>
      <c r="E387" s="2" t="s">
        <v>23</v>
      </c>
      <c r="F387" s="3">
        <f>+5491130106334</f>
        <v>5491130106334</v>
      </c>
      <c r="G387" s="2" t="s">
        <v>1719</v>
      </c>
      <c r="H387" s="2" t="s">
        <v>25</v>
      </c>
      <c r="I387" s="2" t="s">
        <v>1349</v>
      </c>
      <c r="J387" s="2" t="s">
        <v>1349</v>
      </c>
      <c r="K387" s="4">
        <v>46140.0</v>
      </c>
      <c r="L387" s="2" t="s">
        <v>1720</v>
      </c>
    </row>
    <row r="388">
      <c r="A388" s="2" t="s">
        <v>1721</v>
      </c>
      <c r="B388" s="2" t="s">
        <v>1722</v>
      </c>
      <c r="C388" s="2" t="s">
        <v>14</v>
      </c>
      <c r="D388" s="2" t="s">
        <v>15</v>
      </c>
      <c r="E388" s="2" t="s">
        <v>23</v>
      </c>
      <c r="F388" s="3">
        <f>+5491132273267</f>
        <v>5491132273267</v>
      </c>
      <c r="G388" s="2" t="s">
        <v>1723</v>
      </c>
      <c r="H388" s="2" t="s">
        <v>25</v>
      </c>
      <c r="I388" s="2" t="s">
        <v>486</v>
      </c>
      <c r="J388" s="2" t="s">
        <v>486</v>
      </c>
      <c r="K388" s="4">
        <v>46140.0</v>
      </c>
      <c r="L388" s="2" t="s">
        <v>1724</v>
      </c>
    </row>
    <row r="389">
      <c r="A389" s="2" t="s">
        <v>1725</v>
      </c>
      <c r="B389" s="2" t="s">
        <v>1726</v>
      </c>
      <c r="C389" s="2" t="s">
        <v>14</v>
      </c>
      <c r="D389" s="2" t="s">
        <v>15</v>
      </c>
      <c r="E389" s="2" t="s">
        <v>23</v>
      </c>
      <c r="F389" s="3">
        <f>+5491170638876</f>
        <v>5491170638876</v>
      </c>
      <c r="G389" s="2" t="s">
        <v>1727</v>
      </c>
      <c r="H389" s="2" t="s">
        <v>32</v>
      </c>
      <c r="I389" s="2" t="s">
        <v>25</v>
      </c>
      <c r="J389" s="2" t="s">
        <v>594</v>
      </c>
      <c r="K389" s="4">
        <v>46140.0</v>
      </c>
      <c r="L389" s="2" t="s">
        <v>1728</v>
      </c>
    </row>
    <row r="390">
      <c r="A390" s="2" t="s">
        <v>1729</v>
      </c>
      <c r="B390" s="2" t="s">
        <v>1730</v>
      </c>
      <c r="C390" s="2" t="s">
        <v>14</v>
      </c>
      <c r="D390" s="2" t="s">
        <v>15</v>
      </c>
      <c r="E390" s="2" t="s">
        <v>23</v>
      </c>
      <c r="F390" s="3">
        <f>+5493512054549</f>
        <v>5493512054549</v>
      </c>
      <c r="G390" s="2" t="s">
        <v>1648</v>
      </c>
      <c r="H390" s="2" t="s">
        <v>18</v>
      </c>
      <c r="I390" s="2" t="s">
        <v>18</v>
      </c>
      <c r="J390" s="2" t="s">
        <v>1649</v>
      </c>
      <c r="K390" s="4">
        <v>46140.0</v>
      </c>
      <c r="L390" s="2" t="s">
        <v>1650</v>
      </c>
    </row>
    <row r="391">
      <c r="A391" s="2" t="s">
        <v>1731</v>
      </c>
      <c r="B391" s="2" t="s">
        <v>1732</v>
      </c>
      <c r="C391" s="2" t="s">
        <v>14</v>
      </c>
      <c r="D391" s="2" t="s">
        <v>15</v>
      </c>
      <c r="E391" s="2" t="s">
        <v>16</v>
      </c>
      <c r="F391" s="3">
        <f>+5491144141991</f>
        <v>5491144141991</v>
      </c>
      <c r="G391" s="2" t="s">
        <v>1733</v>
      </c>
      <c r="H391" s="2" t="s">
        <v>25</v>
      </c>
      <c r="I391" s="2" t="s">
        <v>1297</v>
      </c>
      <c r="J391" s="2" t="s">
        <v>1297</v>
      </c>
      <c r="K391" s="4">
        <v>46140.0</v>
      </c>
      <c r="L391" s="2" t="s">
        <v>1734</v>
      </c>
    </row>
    <row r="392">
      <c r="A392" s="2" t="s">
        <v>1735</v>
      </c>
      <c r="B392" s="2" t="s">
        <v>1736</v>
      </c>
      <c r="C392" s="2" t="s">
        <v>14</v>
      </c>
      <c r="D392" s="2" t="s">
        <v>15</v>
      </c>
      <c r="E392" s="2" t="s">
        <v>16</v>
      </c>
      <c r="F392" s="3">
        <f>+5491168662776</f>
        <v>5491168662776</v>
      </c>
      <c r="G392" s="2" t="s">
        <v>1737</v>
      </c>
      <c r="H392" s="2" t="s">
        <v>25</v>
      </c>
      <c r="I392" s="2" t="s">
        <v>44</v>
      </c>
      <c r="J392" s="2" t="s">
        <v>468</v>
      </c>
      <c r="K392" s="4">
        <v>46140.0</v>
      </c>
      <c r="L392" s="2" t="s">
        <v>1712</v>
      </c>
    </row>
    <row r="393">
      <c r="A393" s="2" t="s">
        <v>1738</v>
      </c>
      <c r="B393" s="2" t="s">
        <v>1739</v>
      </c>
      <c r="C393" s="2" t="s">
        <v>14</v>
      </c>
      <c r="D393" s="2" t="s">
        <v>15</v>
      </c>
      <c r="E393" s="2" t="s">
        <v>23</v>
      </c>
      <c r="F393" s="3">
        <f>+5493815880666</f>
        <v>5493815880666</v>
      </c>
      <c r="G393" s="2" t="s">
        <v>1740</v>
      </c>
      <c r="H393" s="2" t="s">
        <v>55</v>
      </c>
      <c r="I393" s="2" t="s">
        <v>883</v>
      </c>
      <c r="J393" s="2" t="s">
        <v>688</v>
      </c>
      <c r="K393" s="4">
        <v>46140.0</v>
      </c>
      <c r="L393" s="2" t="s">
        <v>1741</v>
      </c>
    </row>
    <row r="394">
      <c r="A394" s="2" t="s">
        <v>1742</v>
      </c>
      <c r="B394" s="2" t="s">
        <v>1743</v>
      </c>
      <c r="C394" s="2" t="s">
        <v>14</v>
      </c>
      <c r="D394" s="2" t="s">
        <v>15</v>
      </c>
      <c r="E394" s="2" t="s">
        <v>23</v>
      </c>
      <c r="F394" s="3">
        <f>+5491141892934</f>
        <v>5491141892934</v>
      </c>
      <c r="G394" s="2" t="s">
        <v>1744</v>
      </c>
      <c r="H394" s="2" t="s">
        <v>25</v>
      </c>
      <c r="I394" s="2" t="s">
        <v>26</v>
      </c>
      <c r="J394" s="2" t="s">
        <v>1745</v>
      </c>
      <c r="K394" s="4">
        <v>46140.0</v>
      </c>
      <c r="L394" s="2" t="s">
        <v>1746</v>
      </c>
    </row>
    <row r="395">
      <c r="A395" s="2" t="s">
        <v>1747</v>
      </c>
      <c r="B395" s="2" t="s">
        <v>1748</v>
      </c>
      <c r="C395" s="2" t="s">
        <v>14</v>
      </c>
      <c r="D395" s="2" t="s">
        <v>15</v>
      </c>
      <c r="E395" s="2" t="s">
        <v>23</v>
      </c>
      <c r="F395" s="3">
        <f>+5493541210638</f>
        <v>5493541210638</v>
      </c>
      <c r="G395" s="2" t="s">
        <v>1749</v>
      </c>
      <c r="H395" s="2" t="s">
        <v>18</v>
      </c>
      <c r="I395" s="2" t="s">
        <v>535</v>
      </c>
      <c r="J395" s="2" t="s">
        <v>630</v>
      </c>
      <c r="K395" s="4">
        <v>46140.0</v>
      </c>
      <c r="L395" s="2" t="s">
        <v>1750</v>
      </c>
    </row>
    <row r="396">
      <c r="A396" s="2" t="s">
        <v>1751</v>
      </c>
      <c r="B396" s="2" t="s">
        <v>1752</v>
      </c>
      <c r="C396" s="2" t="s">
        <v>14</v>
      </c>
      <c r="D396" s="2" t="s">
        <v>15</v>
      </c>
      <c r="E396" s="2" t="s">
        <v>23</v>
      </c>
      <c r="F396" s="3">
        <f>+5491154317482</f>
        <v>5491154317482</v>
      </c>
      <c r="G396" s="2" t="s">
        <v>1753</v>
      </c>
      <c r="H396" s="2" t="s">
        <v>25</v>
      </c>
      <c r="I396" s="2" t="s">
        <v>97</v>
      </c>
      <c r="J396" s="2" t="s">
        <v>98</v>
      </c>
      <c r="K396" s="4">
        <v>46140.0</v>
      </c>
      <c r="L396" s="2" t="s">
        <v>1754</v>
      </c>
    </row>
    <row r="397">
      <c r="A397" s="2" t="s">
        <v>1755</v>
      </c>
      <c r="B397" s="2" t="s">
        <v>1756</v>
      </c>
      <c r="C397" s="2" t="s">
        <v>14</v>
      </c>
      <c r="D397" s="2" t="s">
        <v>15</v>
      </c>
      <c r="E397" s="2" t="s">
        <v>16</v>
      </c>
      <c r="F397" s="3">
        <f>+5491111111111</f>
        <v>5491111111111</v>
      </c>
      <c r="G397" s="2" t="s">
        <v>1757</v>
      </c>
      <c r="H397" s="2" t="s">
        <v>25</v>
      </c>
      <c r="I397" s="2" t="s">
        <v>26</v>
      </c>
      <c r="J397" s="2" t="s">
        <v>1758</v>
      </c>
      <c r="K397" s="4">
        <v>46140.0</v>
      </c>
      <c r="L397" s="2" t="s">
        <v>1759</v>
      </c>
    </row>
    <row r="398">
      <c r="A398" s="2" t="s">
        <v>1760</v>
      </c>
      <c r="B398" s="2" t="s">
        <v>1761</v>
      </c>
      <c r="C398" s="2" t="s">
        <v>14</v>
      </c>
      <c r="D398" s="2" t="s">
        <v>15</v>
      </c>
      <c r="E398" s="2" t="s">
        <v>23</v>
      </c>
      <c r="F398" s="3">
        <f>+5491160508450</f>
        <v>5491160508450</v>
      </c>
      <c r="G398" s="2" t="s">
        <v>1762</v>
      </c>
      <c r="H398" s="2" t="s">
        <v>25</v>
      </c>
      <c r="I398" s="2" t="s">
        <v>236</v>
      </c>
      <c r="J398" s="2" t="s">
        <v>236</v>
      </c>
      <c r="K398" s="4">
        <v>46140.0</v>
      </c>
      <c r="L398" s="2" t="s">
        <v>1763</v>
      </c>
    </row>
    <row r="399">
      <c r="A399" s="2" t="s">
        <v>1764</v>
      </c>
      <c r="B399" s="2" t="s">
        <v>1765</v>
      </c>
      <c r="C399" s="2" t="s">
        <v>14</v>
      </c>
      <c r="D399" s="2" t="s">
        <v>15</v>
      </c>
      <c r="E399" s="2" t="s">
        <v>16</v>
      </c>
      <c r="F399" s="3">
        <f>+5493516998386</f>
        <v>5493516998386</v>
      </c>
      <c r="G399" s="2" t="s">
        <v>1766</v>
      </c>
      <c r="H399" s="2" t="s">
        <v>18</v>
      </c>
      <c r="I399" s="2" t="s">
        <v>18</v>
      </c>
      <c r="J399" s="2" t="s">
        <v>1767</v>
      </c>
      <c r="K399" s="4">
        <v>46140.0</v>
      </c>
      <c r="L399" s="2" t="s">
        <v>1768</v>
      </c>
    </row>
    <row r="400">
      <c r="A400" s="2" t="s">
        <v>1769</v>
      </c>
      <c r="B400" s="2" t="s">
        <v>1770</v>
      </c>
      <c r="C400" s="2" t="s">
        <v>14</v>
      </c>
      <c r="D400" s="2" t="s">
        <v>15</v>
      </c>
      <c r="E400" s="2" t="s">
        <v>23</v>
      </c>
      <c r="F400" s="3">
        <f>+5491155810500</f>
        <v>5491155810500</v>
      </c>
      <c r="G400" s="2" t="s">
        <v>1771</v>
      </c>
      <c r="H400" s="2" t="s">
        <v>32</v>
      </c>
      <c r="I400" s="2" t="s">
        <v>25</v>
      </c>
      <c r="J400" s="2" t="s">
        <v>594</v>
      </c>
      <c r="K400" s="4">
        <v>46140.0</v>
      </c>
      <c r="L400" s="2" t="s">
        <v>1772</v>
      </c>
    </row>
    <row r="401">
      <c r="A401" s="2" t="s">
        <v>1773</v>
      </c>
      <c r="B401" s="2" t="s">
        <v>1774</v>
      </c>
      <c r="C401" s="2" t="s">
        <v>14</v>
      </c>
      <c r="D401" s="2" t="s">
        <v>15</v>
      </c>
      <c r="E401" s="2" t="s">
        <v>23</v>
      </c>
      <c r="F401" s="3">
        <f>+5492613052347</f>
        <v>5492613052347</v>
      </c>
      <c r="G401" s="2" t="s">
        <v>1775</v>
      </c>
      <c r="H401" s="2" t="s">
        <v>71</v>
      </c>
      <c r="I401" s="2" t="s">
        <v>72</v>
      </c>
      <c r="J401" s="2" t="s">
        <v>1776</v>
      </c>
      <c r="K401" s="4">
        <v>46140.0</v>
      </c>
      <c r="L401" s="2" t="s">
        <v>1777</v>
      </c>
    </row>
    <row r="402">
      <c r="A402" s="2" t="s">
        <v>1778</v>
      </c>
      <c r="B402" s="2" t="s">
        <v>1779</v>
      </c>
      <c r="C402" s="2" t="s">
        <v>14</v>
      </c>
      <c r="D402" s="2" t="s">
        <v>15</v>
      </c>
      <c r="E402" s="2" t="s">
        <v>23</v>
      </c>
      <c r="F402" s="3">
        <f>+5493512054549</f>
        <v>5493512054549</v>
      </c>
      <c r="G402" s="2" t="s">
        <v>1648</v>
      </c>
      <c r="H402" s="2" t="s">
        <v>18</v>
      </c>
      <c r="I402" s="2" t="s">
        <v>18</v>
      </c>
      <c r="J402" s="2" t="s">
        <v>1649</v>
      </c>
      <c r="K402" s="4">
        <v>46140.0</v>
      </c>
      <c r="L402" s="2" t="s">
        <v>1650</v>
      </c>
    </row>
    <row r="403">
      <c r="A403" s="2" t="s">
        <v>1780</v>
      </c>
      <c r="B403" s="2" t="s">
        <v>1781</v>
      </c>
      <c r="C403" s="2" t="s">
        <v>14</v>
      </c>
      <c r="D403" s="2" t="s">
        <v>15</v>
      </c>
      <c r="E403" s="2" t="s">
        <v>23</v>
      </c>
      <c r="F403" s="3">
        <f>+5492234250261</f>
        <v>5492234250261</v>
      </c>
      <c r="G403" s="2" t="s">
        <v>1782</v>
      </c>
      <c r="H403" s="2" t="s">
        <v>25</v>
      </c>
      <c r="I403" s="2" t="s">
        <v>649</v>
      </c>
      <c r="J403" s="2" t="s">
        <v>1047</v>
      </c>
      <c r="K403" s="4">
        <v>46140.0</v>
      </c>
      <c r="L403" s="2" t="s">
        <v>1783</v>
      </c>
    </row>
    <row r="404">
      <c r="A404" s="2" t="s">
        <v>1784</v>
      </c>
      <c r="B404" s="2" t="s">
        <v>1785</v>
      </c>
      <c r="C404" s="2" t="s">
        <v>14</v>
      </c>
      <c r="D404" s="2" t="s">
        <v>15</v>
      </c>
      <c r="E404" s="2" t="s">
        <v>23</v>
      </c>
      <c r="F404" s="3">
        <f>+5491150976470</f>
        <v>5491150976470</v>
      </c>
      <c r="G404" s="2" t="s">
        <v>1786</v>
      </c>
      <c r="H404" s="2" t="s">
        <v>32</v>
      </c>
      <c r="I404" s="2" t="s">
        <v>25</v>
      </c>
      <c r="J404" s="2" t="s">
        <v>594</v>
      </c>
      <c r="K404" s="4">
        <v>46140.0</v>
      </c>
      <c r="L404" s="2" t="s">
        <v>1787</v>
      </c>
    </row>
    <row r="405">
      <c r="A405" s="2" t="s">
        <v>1788</v>
      </c>
      <c r="B405" s="2" t="s">
        <v>1789</v>
      </c>
      <c r="C405" s="2" t="s">
        <v>14</v>
      </c>
      <c r="D405" s="2" t="s">
        <v>15</v>
      </c>
      <c r="E405" s="2" t="s">
        <v>23</v>
      </c>
      <c r="F405" s="3">
        <f>+5491138895806</f>
        <v>5491138895806</v>
      </c>
      <c r="G405" s="2" t="s">
        <v>1790</v>
      </c>
      <c r="H405" s="2" t="s">
        <v>25</v>
      </c>
      <c r="I405" s="2" t="s">
        <v>957</v>
      </c>
      <c r="J405" s="2" t="s">
        <v>958</v>
      </c>
      <c r="K405" s="4">
        <v>46140.0</v>
      </c>
      <c r="L405" s="2" t="s">
        <v>1791</v>
      </c>
    </row>
    <row r="406">
      <c r="A406" s="2" t="s">
        <v>1792</v>
      </c>
      <c r="B406" s="2" t="s">
        <v>1793</v>
      </c>
      <c r="C406" s="2" t="s">
        <v>14</v>
      </c>
      <c r="D406" s="2" t="s">
        <v>15</v>
      </c>
      <c r="E406" s="2" t="s">
        <v>23</v>
      </c>
      <c r="F406" s="3">
        <f>+5493517892207</f>
        <v>5493517892207</v>
      </c>
      <c r="G406" s="2" t="s">
        <v>1794</v>
      </c>
      <c r="H406" s="2" t="s">
        <v>18</v>
      </c>
      <c r="I406" s="2" t="s">
        <v>18</v>
      </c>
      <c r="J406" s="2" t="s">
        <v>1795</v>
      </c>
      <c r="K406" s="4">
        <v>46140.0</v>
      </c>
      <c r="L406" s="2" t="s">
        <v>1796</v>
      </c>
    </row>
    <row r="407">
      <c r="A407" s="2" t="s">
        <v>1797</v>
      </c>
      <c r="B407" s="2" t="s">
        <v>1798</v>
      </c>
      <c r="C407" s="2" t="s">
        <v>14</v>
      </c>
      <c r="D407" s="2" t="s">
        <v>15</v>
      </c>
      <c r="E407" s="2" t="s">
        <v>23</v>
      </c>
      <c r="F407" s="3">
        <f>+5491132942777</f>
        <v>5491132942777</v>
      </c>
      <c r="G407" s="2" t="s">
        <v>1799</v>
      </c>
      <c r="H407" s="2" t="s">
        <v>32</v>
      </c>
      <c r="I407" s="2" t="s">
        <v>25</v>
      </c>
      <c r="J407" s="2" t="s">
        <v>594</v>
      </c>
      <c r="K407" s="4">
        <v>46140.0</v>
      </c>
      <c r="L407" s="2" t="s">
        <v>1787</v>
      </c>
    </row>
    <row r="408">
      <c r="A408" s="2" t="s">
        <v>1800</v>
      </c>
      <c r="B408" s="2" t="s">
        <v>1801</v>
      </c>
      <c r="C408" s="2" t="s">
        <v>14</v>
      </c>
      <c r="D408" s="2" t="s">
        <v>15</v>
      </c>
      <c r="E408" s="2" t="s">
        <v>16</v>
      </c>
      <c r="F408" s="3">
        <f>+5491160322593</f>
        <v>5491160322593</v>
      </c>
      <c r="G408" s="2" t="s">
        <v>1802</v>
      </c>
      <c r="H408" s="2" t="s">
        <v>32</v>
      </c>
      <c r="I408" s="2" t="s">
        <v>25</v>
      </c>
      <c r="J408" s="2" t="s">
        <v>373</v>
      </c>
      <c r="K408" s="4">
        <v>46140.0</v>
      </c>
      <c r="L408" s="2" t="s">
        <v>1693</v>
      </c>
    </row>
    <row r="409">
      <c r="A409" s="2" t="s">
        <v>1803</v>
      </c>
      <c r="B409" s="2" t="s">
        <v>1804</v>
      </c>
      <c r="C409" s="2" t="s">
        <v>14</v>
      </c>
      <c r="D409" s="2" t="s">
        <v>15</v>
      </c>
      <c r="E409" s="2" t="s">
        <v>23</v>
      </c>
      <c r="F409" s="3">
        <f>+5491159547117</f>
        <v>5491159547117</v>
      </c>
      <c r="G409" s="2" t="s">
        <v>1805</v>
      </c>
      <c r="H409" s="2" t="s">
        <v>32</v>
      </c>
      <c r="I409" s="2" t="s">
        <v>25</v>
      </c>
      <c r="J409" s="2" t="s">
        <v>373</v>
      </c>
      <c r="K409" s="4">
        <v>46140.0</v>
      </c>
      <c r="L409" s="2" t="s">
        <v>1806</v>
      </c>
    </row>
    <row r="410">
      <c r="A410" s="2" t="s">
        <v>1807</v>
      </c>
      <c r="B410" s="2" t="s">
        <v>1808</v>
      </c>
      <c r="C410" s="2" t="s">
        <v>14</v>
      </c>
      <c r="D410" s="2" t="s">
        <v>15</v>
      </c>
      <c r="E410" s="2" t="s">
        <v>23</v>
      </c>
      <c r="F410" s="3">
        <f>+5492235011511</f>
        <v>5492235011511</v>
      </c>
      <c r="G410" s="2" t="s">
        <v>1809</v>
      </c>
      <c r="H410" s="2" t="s">
        <v>25</v>
      </c>
      <c r="I410" s="2" t="s">
        <v>649</v>
      </c>
      <c r="J410" s="2" t="s">
        <v>1810</v>
      </c>
      <c r="K410" s="4">
        <v>46140.0</v>
      </c>
      <c r="L410" s="2" t="s">
        <v>1811</v>
      </c>
    </row>
    <row r="411">
      <c r="A411" s="2" t="s">
        <v>1812</v>
      </c>
      <c r="B411" s="2" t="s">
        <v>1813</v>
      </c>
      <c r="C411" s="2" t="s">
        <v>14</v>
      </c>
      <c r="D411" s="2" t="s">
        <v>15</v>
      </c>
      <c r="E411" s="2" t="s">
        <v>23</v>
      </c>
      <c r="F411" s="3">
        <f>+5491150028736</f>
        <v>5491150028736</v>
      </c>
      <c r="G411" s="2" t="s">
        <v>1814</v>
      </c>
      <c r="H411" s="2" t="s">
        <v>25</v>
      </c>
      <c r="I411" s="2" t="s">
        <v>764</v>
      </c>
      <c r="J411" s="2" t="s">
        <v>764</v>
      </c>
      <c r="K411" s="4">
        <v>46140.0</v>
      </c>
      <c r="L411" s="2" t="s">
        <v>1815</v>
      </c>
    </row>
    <row r="412">
      <c r="A412" s="2" t="s">
        <v>1816</v>
      </c>
      <c r="B412" s="2" t="s">
        <v>1817</v>
      </c>
      <c r="C412" s="2" t="s">
        <v>14</v>
      </c>
      <c r="D412" s="2" t="s">
        <v>15</v>
      </c>
      <c r="E412" s="2" t="s">
        <v>23</v>
      </c>
      <c r="F412" s="3">
        <f>+5492213519115</f>
        <v>5492213519115</v>
      </c>
      <c r="G412" s="2" t="s">
        <v>1818</v>
      </c>
      <c r="H412" s="2" t="s">
        <v>25</v>
      </c>
      <c r="I412" s="2" t="s">
        <v>44</v>
      </c>
      <c r="J412" s="2" t="s">
        <v>44</v>
      </c>
      <c r="K412" s="4">
        <v>46140.0</v>
      </c>
      <c r="L412" s="2" t="s">
        <v>1819</v>
      </c>
    </row>
    <row r="413">
      <c r="A413" s="2" t="s">
        <v>1820</v>
      </c>
      <c r="B413" s="2" t="s">
        <v>1821</v>
      </c>
      <c r="C413" s="2" t="s">
        <v>14</v>
      </c>
      <c r="D413" s="2" t="s">
        <v>15</v>
      </c>
      <c r="E413" s="2" t="s">
        <v>23</v>
      </c>
      <c r="F413" s="3">
        <f>+5491169275728</f>
        <v>5491169275728</v>
      </c>
      <c r="G413" s="2" t="s">
        <v>1822</v>
      </c>
      <c r="H413" s="2" t="s">
        <v>25</v>
      </c>
      <c r="I413" s="2" t="s">
        <v>314</v>
      </c>
      <c r="J413" s="2" t="s">
        <v>814</v>
      </c>
      <c r="K413" s="4">
        <v>46140.0</v>
      </c>
      <c r="L413" s="2" t="s">
        <v>1823</v>
      </c>
    </row>
    <row r="414">
      <c r="A414" s="2" t="s">
        <v>1824</v>
      </c>
      <c r="B414" s="2" t="s">
        <v>1825</v>
      </c>
      <c r="C414" s="2" t="s">
        <v>14</v>
      </c>
      <c r="D414" s="2" t="s">
        <v>15</v>
      </c>
      <c r="E414" s="2" t="s">
        <v>23</v>
      </c>
      <c r="F414" s="3">
        <f>+5493815703144</f>
        <v>5493815703144</v>
      </c>
      <c r="G414" s="2" t="s">
        <v>1826</v>
      </c>
      <c r="H414" s="2" t="s">
        <v>55</v>
      </c>
      <c r="I414" s="2" t="s">
        <v>56</v>
      </c>
      <c r="J414" s="2" t="s">
        <v>56</v>
      </c>
      <c r="K414" s="4">
        <v>46140.0</v>
      </c>
      <c r="L414" s="2" t="s">
        <v>1827</v>
      </c>
    </row>
    <row r="415">
      <c r="A415" s="2" t="s">
        <v>1828</v>
      </c>
      <c r="B415" s="2" t="s">
        <v>1829</v>
      </c>
      <c r="C415" s="2" t="s">
        <v>14</v>
      </c>
      <c r="D415" s="2" t="s">
        <v>15</v>
      </c>
      <c r="E415" s="2" t="s">
        <v>23</v>
      </c>
      <c r="F415" s="3">
        <f>+5493515217720</f>
        <v>5493515217720</v>
      </c>
      <c r="G415" s="2" t="s">
        <v>1830</v>
      </c>
      <c r="H415" s="2" t="s">
        <v>18</v>
      </c>
      <c r="I415" s="2" t="s">
        <v>18</v>
      </c>
      <c r="J415" s="2" t="s">
        <v>712</v>
      </c>
      <c r="K415" s="4">
        <v>46140.0</v>
      </c>
      <c r="L415" s="2" t="s">
        <v>1831</v>
      </c>
    </row>
    <row r="416">
      <c r="A416" s="2" t="s">
        <v>1832</v>
      </c>
      <c r="B416" s="2" t="s">
        <v>1833</v>
      </c>
      <c r="C416" s="2" t="s">
        <v>14</v>
      </c>
      <c r="D416" s="2" t="s">
        <v>15</v>
      </c>
      <c r="E416" s="2" t="s">
        <v>23</v>
      </c>
      <c r="F416" s="3">
        <f>+5491156675113</f>
        <v>5491156675113</v>
      </c>
      <c r="G416" s="2" t="s">
        <v>1834</v>
      </c>
      <c r="H416" s="2" t="s">
        <v>32</v>
      </c>
      <c r="I416" s="2" t="s">
        <v>25</v>
      </c>
      <c r="J416" s="2" t="s">
        <v>1037</v>
      </c>
      <c r="K416" s="4">
        <v>46140.0</v>
      </c>
      <c r="L416" s="2" t="s">
        <v>1835</v>
      </c>
    </row>
    <row r="417">
      <c r="A417" s="2" t="s">
        <v>1836</v>
      </c>
      <c r="B417" s="2" t="s">
        <v>1837</v>
      </c>
      <c r="C417" s="2" t="s">
        <v>14</v>
      </c>
      <c r="D417" s="2" t="s">
        <v>15</v>
      </c>
      <c r="E417" s="2" t="s">
        <v>16</v>
      </c>
      <c r="F417" s="3">
        <f>+5491162486447</f>
        <v>5491162486447</v>
      </c>
      <c r="G417" s="2" t="s">
        <v>1838</v>
      </c>
      <c r="H417" s="2" t="s">
        <v>32</v>
      </c>
      <c r="I417" s="2" t="s">
        <v>25</v>
      </c>
      <c r="J417" s="2" t="s">
        <v>1080</v>
      </c>
      <c r="K417" s="4">
        <v>46139.0</v>
      </c>
      <c r="L417" s="2" t="s">
        <v>1839</v>
      </c>
    </row>
    <row r="418">
      <c r="A418" s="2" t="s">
        <v>1840</v>
      </c>
      <c r="B418" s="2" t="s">
        <v>1841</v>
      </c>
      <c r="C418" s="2" t="s">
        <v>14</v>
      </c>
      <c r="D418" s="2" t="s">
        <v>15</v>
      </c>
      <c r="E418" s="2" t="s">
        <v>23</v>
      </c>
      <c r="F418" s="3">
        <f>+5493516237841</f>
        <v>5493516237841</v>
      </c>
      <c r="G418" s="2" t="s">
        <v>1842</v>
      </c>
      <c r="H418" s="2" t="s">
        <v>18</v>
      </c>
      <c r="I418" s="2" t="s">
        <v>18</v>
      </c>
      <c r="J418" s="2" t="s">
        <v>219</v>
      </c>
      <c r="K418" s="4">
        <v>46139.0</v>
      </c>
      <c r="L418" s="2" t="s">
        <v>1843</v>
      </c>
    </row>
    <row r="419">
      <c r="A419" s="2" t="s">
        <v>1844</v>
      </c>
      <c r="B419" s="2" t="s">
        <v>1845</v>
      </c>
      <c r="C419" s="2" t="s">
        <v>14</v>
      </c>
      <c r="D419" s="2" t="s">
        <v>15</v>
      </c>
      <c r="E419" s="2" t="s">
        <v>23</v>
      </c>
      <c r="F419" s="3">
        <f>+5491169595395</f>
        <v>5491169595395</v>
      </c>
      <c r="G419" s="2" t="s">
        <v>1846</v>
      </c>
      <c r="H419" s="2" t="s">
        <v>25</v>
      </c>
      <c r="I419" s="2" t="s">
        <v>26</v>
      </c>
      <c r="J419" s="2" t="s">
        <v>1745</v>
      </c>
      <c r="K419" s="4">
        <v>46139.0</v>
      </c>
      <c r="L419" s="2" t="s">
        <v>1847</v>
      </c>
    </row>
    <row r="420">
      <c r="A420" s="2" t="s">
        <v>1848</v>
      </c>
      <c r="B420" s="2" t="s">
        <v>1849</v>
      </c>
      <c r="C420" s="2" t="s">
        <v>14</v>
      </c>
      <c r="D420" s="2" t="s">
        <v>15</v>
      </c>
      <c r="E420" s="2" t="s">
        <v>23</v>
      </c>
      <c r="F420" s="3">
        <f>+5492617187435</f>
        <v>5492617187435</v>
      </c>
      <c r="G420" s="2" t="s">
        <v>1850</v>
      </c>
      <c r="H420" s="2" t="s">
        <v>71</v>
      </c>
      <c r="I420" s="2" t="s">
        <v>1156</v>
      </c>
      <c r="J420" s="2" t="s">
        <v>1545</v>
      </c>
      <c r="K420" s="4">
        <v>46139.0</v>
      </c>
      <c r="L420" s="2" t="s">
        <v>1851</v>
      </c>
    </row>
    <row r="421">
      <c r="A421" s="2" t="s">
        <v>1852</v>
      </c>
      <c r="B421" s="2" t="s">
        <v>1853</v>
      </c>
      <c r="C421" s="2" t="s">
        <v>14</v>
      </c>
      <c r="D421" s="2" t="s">
        <v>15</v>
      </c>
      <c r="E421" s="2" t="s">
        <v>23</v>
      </c>
      <c r="F421" s="3">
        <f>+5491135131128</f>
        <v>5491135131128</v>
      </c>
      <c r="G421" s="2" t="s">
        <v>1854</v>
      </c>
      <c r="H421" s="2" t="s">
        <v>25</v>
      </c>
      <c r="I421" s="2" t="s">
        <v>236</v>
      </c>
      <c r="J421" s="2" t="s">
        <v>236</v>
      </c>
      <c r="K421" s="4">
        <v>46139.0</v>
      </c>
      <c r="L421" s="2" t="s">
        <v>1855</v>
      </c>
    </row>
    <row r="422">
      <c r="A422" s="2" t="s">
        <v>1856</v>
      </c>
      <c r="B422" s="2" t="s">
        <v>1857</v>
      </c>
      <c r="C422" s="2" t="s">
        <v>14</v>
      </c>
      <c r="D422" s="2" t="s">
        <v>15</v>
      </c>
      <c r="E422" s="2" t="s">
        <v>23</v>
      </c>
      <c r="F422" s="3">
        <f>+5493416871003</f>
        <v>5493416871003</v>
      </c>
      <c r="G422" s="2" t="s">
        <v>1858</v>
      </c>
      <c r="H422" s="2" t="s">
        <v>65</v>
      </c>
      <c r="I422" s="2" t="s">
        <v>218</v>
      </c>
      <c r="J422" s="2" t="s">
        <v>1859</v>
      </c>
      <c r="K422" s="4">
        <v>46139.0</v>
      </c>
      <c r="L422" s="2" t="s">
        <v>1860</v>
      </c>
    </row>
    <row r="423">
      <c r="A423" s="2" t="s">
        <v>1861</v>
      </c>
      <c r="B423" s="2" t="s">
        <v>1862</v>
      </c>
      <c r="C423" s="2" t="s">
        <v>14</v>
      </c>
      <c r="D423" s="2" t="s">
        <v>15</v>
      </c>
      <c r="E423" s="2" t="s">
        <v>23</v>
      </c>
      <c r="F423" s="3">
        <f>+5493816821021</f>
        <v>5493816821021</v>
      </c>
      <c r="G423" s="2" t="s">
        <v>1863</v>
      </c>
      <c r="H423" s="2" t="s">
        <v>55</v>
      </c>
      <c r="I423" s="2" t="s">
        <v>883</v>
      </c>
      <c r="J423" s="2" t="s">
        <v>1864</v>
      </c>
      <c r="K423" s="4">
        <v>46139.0</v>
      </c>
      <c r="L423" s="2" t="s">
        <v>1865</v>
      </c>
    </row>
    <row r="424">
      <c r="A424" s="2" t="s">
        <v>1866</v>
      </c>
      <c r="B424" s="2" t="s">
        <v>1867</v>
      </c>
      <c r="C424" s="2" t="s">
        <v>14</v>
      </c>
      <c r="D424" s="2" t="s">
        <v>15</v>
      </c>
      <c r="E424" s="2" t="s">
        <v>16</v>
      </c>
      <c r="F424" s="3">
        <f>+5491160322593</f>
        <v>5491160322593</v>
      </c>
      <c r="G424" s="2" t="s">
        <v>1692</v>
      </c>
      <c r="H424" s="2" t="s">
        <v>32</v>
      </c>
      <c r="I424" s="2" t="s">
        <v>25</v>
      </c>
      <c r="J424" s="2" t="s">
        <v>373</v>
      </c>
      <c r="K424" s="4">
        <v>46139.0</v>
      </c>
      <c r="L424" s="2" t="s">
        <v>1693</v>
      </c>
    </row>
    <row r="425">
      <c r="A425" s="2" t="s">
        <v>1868</v>
      </c>
      <c r="B425" s="2" t="s">
        <v>1869</v>
      </c>
      <c r="C425" s="2" t="s">
        <v>14</v>
      </c>
      <c r="D425" s="2" t="s">
        <v>15</v>
      </c>
      <c r="E425" s="2" t="s">
        <v>23</v>
      </c>
      <c r="F425" s="3">
        <f>+5492617157625</f>
        <v>5492617157625</v>
      </c>
      <c r="G425" s="2" t="s">
        <v>1870</v>
      </c>
      <c r="H425" s="2" t="s">
        <v>71</v>
      </c>
      <c r="I425" s="2" t="s">
        <v>72</v>
      </c>
      <c r="J425" s="2" t="s">
        <v>398</v>
      </c>
      <c r="K425" s="4">
        <v>46139.0</v>
      </c>
      <c r="L425" s="2" t="s">
        <v>1871</v>
      </c>
    </row>
    <row r="426">
      <c r="A426" s="2" t="s">
        <v>1872</v>
      </c>
      <c r="B426" s="2" t="s">
        <v>1873</v>
      </c>
      <c r="C426" s="2" t="s">
        <v>14</v>
      </c>
      <c r="D426" s="2" t="s">
        <v>15</v>
      </c>
      <c r="E426" s="2" t="s">
        <v>23</v>
      </c>
      <c r="F426" s="3">
        <f>+5491126217623</f>
        <v>5491126217623</v>
      </c>
      <c r="G426" s="2" t="s">
        <v>1874</v>
      </c>
      <c r="H426" s="2" t="s">
        <v>25</v>
      </c>
      <c r="I426" s="2" t="s">
        <v>49</v>
      </c>
      <c r="J426" s="2" t="s">
        <v>49</v>
      </c>
      <c r="K426" s="4">
        <v>46139.0</v>
      </c>
      <c r="L426" s="2" t="s">
        <v>1875</v>
      </c>
    </row>
    <row r="427">
      <c r="A427" s="2" t="s">
        <v>1876</v>
      </c>
      <c r="B427" s="2" t="s">
        <v>1877</v>
      </c>
      <c r="C427" s="2" t="s">
        <v>14</v>
      </c>
      <c r="D427" s="2" t="s">
        <v>15</v>
      </c>
      <c r="E427" s="2" t="s">
        <v>23</v>
      </c>
      <c r="F427" s="3">
        <f>+5492914180694</f>
        <v>5492914180694</v>
      </c>
      <c r="G427" s="2" t="s">
        <v>1878</v>
      </c>
      <c r="H427" s="2" t="s">
        <v>25</v>
      </c>
      <c r="I427" s="2" t="s">
        <v>841</v>
      </c>
      <c r="J427" s="2" t="s">
        <v>1879</v>
      </c>
      <c r="K427" s="4">
        <v>46139.0</v>
      </c>
      <c r="L427" s="2" t="s">
        <v>1880</v>
      </c>
    </row>
    <row r="428">
      <c r="A428" s="2" t="s">
        <v>1881</v>
      </c>
      <c r="B428" s="2" t="s">
        <v>1882</v>
      </c>
      <c r="C428" s="2" t="s">
        <v>14</v>
      </c>
      <c r="D428" s="2" t="s">
        <v>15</v>
      </c>
      <c r="E428" s="2" t="s">
        <v>23</v>
      </c>
      <c r="F428" s="3">
        <f>+5491125292530</f>
        <v>5491125292530</v>
      </c>
      <c r="G428" s="2" t="s">
        <v>1883</v>
      </c>
      <c r="H428" s="2" t="s">
        <v>32</v>
      </c>
      <c r="I428" s="2" t="s">
        <v>25</v>
      </c>
      <c r="J428" s="2" t="s">
        <v>33</v>
      </c>
      <c r="K428" s="4">
        <v>46139.0</v>
      </c>
      <c r="L428" s="2" t="s">
        <v>1884</v>
      </c>
    </row>
    <row r="429">
      <c r="A429" s="2" t="s">
        <v>1885</v>
      </c>
      <c r="B429" s="2" t="s">
        <v>1886</v>
      </c>
      <c r="C429" s="2" t="s">
        <v>14</v>
      </c>
      <c r="D429" s="2" t="s">
        <v>15</v>
      </c>
      <c r="E429" s="2" t="s">
        <v>23</v>
      </c>
      <c r="F429" s="3">
        <f>+5491137002313</f>
        <v>5491137002313</v>
      </c>
      <c r="G429" s="2" t="s">
        <v>1887</v>
      </c>
      <c r="H429" s="2" t="s">
        <v>32</v>
      </c>
      <c r="I429" s="2" t="s">
        <v>25</v>
      </c>
      <c r="J429" s="2" t="s">
        <v>403</v>
      </c>
      <c r="K429" s="4">
        <v>46139.0</v>
      </c>
      <c r="L429" s="2" t="s">
        <v>1888</v>
      </c>
    </row>
    <row r="430">
      <c r="A430" s="2" t="s">
        <v>1889</v>
      </c>
      <c r="B430" s="2" t="s">
        <v>1890</v>
      </c>
      <c r="C430" s="2" t="s">
        <v>14</v>
      </c>
      <c r="D430" s="2" t="s">
        <v>15</v>
      </c>
      <c r="E430" s="2" t="s">
        <v>16</v>
      </c>
      <c r="F430" s="3">
        <f>+5491135936146</f>
        <v>5491135936146</v>
      </c>
      <c r="G430" s="2" t="s">
        <v>1891</v>
      </c>
      <c r="H430" s="2" t="s">
        <v>25</v>
      </c>
      <c r="I430" s="2" t="s">
        <v>97</v>
      </c>
      <c r="J430" s="2" t="s">
        <v>98</v>
      </c>
      <c r="K430" s="4">
        <v>46139.0</v>
      </c>
      <c r="L430" s="2" t="s">
        <v>1892</v>
      </c>
    </row>
    <row r="431">
      <c r="A431" s="2" t="s">
        <v>1893</v>
      </c>
      <c r="B431" s="2" t="s">
        <v>1894</v>
      </c>
      <c r="C431" s="2" t="s">
        <v>14</v>
      </c>
      <c r="D431" s="2" t="s">
        <v>15</v>
      </c>
      <c r="E431" s="2" t="s">
        <v>23</v>
      </c>
      <c r="F431" s="3">
        <f>+5491171538121</f>
        <v>5491171538121</v>
      </c>
      <c r="G431" s="2" t="s">
        <v>1895</v>
      </c>
      <c r="H431" s="2" t="s">
        <v>25</v>
      </c>
      <c r="I431" s="2" t="s">
        <v>38</v>
      </c>
      <c r="J431" s="2" t="s">
        <v>1896</v>
      </c>
      <c r="K431" s="4">
        <v>46139.0</v>
      </c>
      <c r="L431" s="2" t="s">
        <v>1897</v>
      </c>
    </row>
    <row r="432">
      <c r="A432" s="2" t="s">
        <v>1898</v>
      </c>
      <c r="B432" s="2" t="s">
        <v>1899</v>
      </c>
      <c r="C432" s="2" t="s">
        <v>14</v>
      </c>
      <c r="D432" s="2" t="s">
        <v>15</v>
      </c>
      <c r="E432" s="2" t="s">
        <v>23</v>
      </c>
      <c r="F432" s="3">
        <f>+5492212024549</f>
        <v>5492212024549</v>
      </c>
      <c r="G432" s="2" t="s">
        <v>1900</v>
      </c>
      <c r="H432" s="2" t="s">
        <v>25</v>
      </c>
      <c r="I432" s="2" t="s">
        <v>44</v>
      </c>
      <c r="J432" s="2" t="s">
        <v>1901</v>
      </c>
      <c r="K432" s="4">
        <v>46139.0</v>
      </c>
      <c r="L432" s="2" t="s">
        <v>1902</v>
      </c>
    </row>
    <row r="433">
      <c r="A433" s="2" t="s">
        <v>1903</v>
      </c>
      <c r="B433" s="2" t="s">
        <v>1904</v>
      </c>
      <c r="C433" s="2" t="s">
        <v>14</v>
      </c>
      <c r="D433" s="2" t="s">
        <v>15</v>
      </c>
      <c r="E433" s="2" t="s">
        <v>23</v>
      </c>
      <c r="F433" s="3">
        <f>+5491162532091</f>
        <v>5491162532091</v>
      </c>
      <c r="G433" s="2" t="s">
        <v>1905</v>
      </c>
      <c r="H433" s="2" t="s">
        <v>25</v>
      </c>
      <c r="I433" s="2" t="s">
        <v>1349</v>
      </c>
      <c r="J433" s="2" t="s">
        <v>1906</v>
      </c>
      <c r="K433" s="4">
        <v>46139.0</v>
      </c>
      <c r="L433" s="2" t="s">
        <v>1907</v>
      </c>
    </row>
    <row r="434">
      <c r="A434" s="2" t="s">
        <v>1908</v>
      </c>
      <c r="B434" s="2" t="s">
        <v>1909</v>
      </c>
      <c r="C434" s="2" t="s">
        <v>14</v>
      </c>
      <c r="D434" s="2" t="s">
        <v>15</v>
      </c>
      <c r="E434" s="2" t="s">
        <v>23</v>
      </c>
      <c r="F434" s="3">
        <f>+5493518042768</f>
        <v>5493518042768</v>
      </c>
      <c r="G434" s="2" t="s">
        <v>1910</v>
      </c>
      <c r="H434" s="2" t="s">
        <v>18</v>
      </c>
      <c r="I434" s="2" t="s">
        <v>18</v>
      </c>
      <c r="J434" s="2" t="s">
        <v>1911</v>
      </c>
      <c r="K434" s="4">
        <v>46139.0</v>
      </c>
      <c r="L434" s="2" t="s">
        <v>1912</v>
      </c>
    </row>
    <row r="435">
      <c r="A435" s="2" t="s">
        <v>1913</v>
      </c>
      <c r="B435" s="2" t="s">
        <v>1914</v>
      </c>
      <c r="C435" s="2" t="s">
        <v>14</v>
      </c>
      <c r="D435" s="2" t="s">
        <v>15</v>
      </c>
      <c r="E435" s="2" t="s">
        <v>16</v>
      </c>
      <c r="F435" s="3">
        <f>+5491154247521</f>
        <v>5491154247521</v>
      </c>
      <c r="G435" s="2" t="s">
        <v>1915</v>
      </c>
      <c r="H435" s="2" t="s">
        <v>32</v>
      </c>
      <c r="I435" s="2" t="s">
        <v>25</v>
      </c>
      <c r="J435" s="2" t="s">
        <v>559</v>
      </c>
      <c r="K435" s="4">
        <v>46139.0</v>
      </c>
      <c r="L435" s="2" t="s">
        <v>1916</v>
      </c>
    </row>
    <row r="436">
      <c r="A436" s="2" t="s">
        <v>1917</v>
      </c>
      <c r="B436" s="2" t="s">
        <v>1918</v>
      </c>
      <c r="C436" s="2" t="s">
        <v>14</v>
      </c>
      <c r="D436" s="2" t="s">
        <v>15</v>
      </c>
      <c r="E436" s="2" t="s">
        <v>23</v>
      </c>
      <c r="F436" s="3">
        <f>+5491141499343</f>
        <v>5491141499343</v>
      </c>
      <c r="G436" s="2" t="s">
        <v>1919</v>
      </c>
      <c r="H436" s="2" t="s">
        <v>25</v>
      </c>
      <c r="I436" s="2" t="s">
        <v>1920</v>
      </c>
      <c r="J436" s="2" t="s">
        <v>1921</v>
      </c>
      <c r="K436" s="4">
        <v>46139.0</v>
      </c>
      <c r="L436" s="2" t="s">
        <v>1922</v>
      </c>
    </row>
    <row r="437">
      <c r="A437" s="2" t="s">
        <v>1923</v>
      </c>
      <c r="B437" s="2" t="s">
        <v>1924</v>
      </c>
      <c r="C437" s="2" t="s">
        <v>14</v>
      </c>
      <c r="D437" s="2" t="s">
        <v>15</v>
      </c>
      <c r="E437" s="2" t="s">
        <v>23</v>
      </c>
      <c r="F437" s="3">
        <f>+5491164512643</f>
        <v>5491164512643</v>
      </c>
      <c r="G437" s="2" t="s">
        <v>1925</v>
      </c>
      <c r="H437" s="2" t="s">
        <v>32</v>
      </c>
      <c r="I437" s="2" t="s">
        <v>25</v>
      </c>
      <c r="J437" s="2" t="s">
        <v>143</v>
      </c>
      <c r="K437" s="4">
        <v>46139.0</v>
      </c>
      <c r="L437" s="2" t="s">
        <v>1926</v>
      </c>
    </row>
    <row r="438">
      <c r="A438" s="2" t="s">
        <v>1927</v>
      </c>
      <c r="B438" s="2" t="s">
        <v>1928</v>
      </c>
      <c r="C438" s="2" t="s">
        <v>493</v>
      </c>
      <c r="D438" s="2" t="s">
        <v>15</v>
      </c>
      <c r="E438" s="2" t="s">
        <v>23</v>
      </c>
      <c r="F438" s="3">
        <f>+5491111111111</f>
        <v>5491111111111</v>
      </c>
      <c r="G438" s="2" t="s">
        <v>1929</v>
      </c>
      <c r="H438" s="2" t="s">
        <v>32</v>
      </c>
      <c r="I438" s="2" t="s">
        <v>25</v>
      </c>
      <c r="J438" s="2" t="s">
        <v>408</v>
      </c>
      <c r="K438" s="4">
        <v>46139.0</v>
      </c>
      <c r="L438" s="2" t="s">
        <v>1930</v>
      </c>
    </row>
    <row r="439">
      <c r="A439" s="2" t="s">
        <v>1931</v>
      </c>
      <c r="B439" s="2" t="s">
        <v>1932</v>
      </c>
      <c r="C439" s="2" t="s">
        <v>14</v>
      </c>
      <c r="D439" s="2" t="s">
        <v>15</v>
      </c>
      <c r="E439" s="2" t="s">
        <v>23</v>
      </c>
      <c r="F439" s="3">
        <f>+5491173616267</f>
        <v>5491173616267</v>
      </c>
      <c r="G439" s="2" t="s">
        <v>1933</v>
      </c>
      <c r="H439" s="2" t="s">
        <v>25</v>
      </c>
      <c r="I439" s="2" t="s">
        <v>486</v>
      </c>
      <c r="J439" s="2" t="s">
        <v>1934</v>
      </c>
      <c r="K439" s="4">
        <v>46139.0</v>
      </c>
      <c r="L439" s="2" t="s">
        <v>1935</v>
      </c>
    </row>
    <row r="440">
      <c r="A440" s="2" t="s">
        <v>1936</v>
      </c>
      <c r="B440" s="2" t="s">
        <v>1937</v>
      </c>
      <c r="C440" s="2" t="s">
        <v>14</v>
      </c>
      <c r="D440" s="2" t="s">
        <v>15</v>
      </c>
      <c r="E440" s="2" t="s">
        <v>23</v>
      </c>
      <c r="F440" s="3">
        <f>+5492914382215</f>
        <v>5492914382215</v>
      </c>
      <c r="G440" s="2" t="s">
        <v>1938</v>
      </c>
      <c r="H440" s="2" t="s">
        <v>25</v>
      </c>
      <c r="I440" s="2" t="s">
        <v>841</v>
      </c>
      <c r="J440" s="2" t="s">
        <v>219</v>
      </c>
      <c r="K440" s="4">
        <v>46139.0</v>
      </c>
      <c r="L440" s="2" t="s">
        <v>1939</v>
      </c>
    </row>
    <row r="441">
      <c r="A441" s="2" t="s">
        <v>1940</v>
      </c>
      <c r="B441" s="2" t="s">
        <v>1941</v>
      </c>
      <c r="C441" s="2" t="s">
        <v>14</v>
      </c>
      <c r="D441" s="2" t="s">
        <v>15</v>
      </c>
      <c r="E441" s="2" t="s">
        <v>23</v>
      </c>
      <c r="F441" s="3">
        <f>+5492236023992</f>
        <v>5492236023992</v>
      </c>
      <c r="G441" s="2" t="s">
        <v>1942</v>
      </c>
      <c r="H441" s="2" t="s">
        <v>25</v>
      </c>
      <c r="I441" s="2" t="s">
        <v>649</v>
      </c>
      <c r="J441" s="2" t="s">
        <v>1943</v>
      </c>
      <c r="K441" s="4">
        <v>46139.0</v>
      </c>
      <c r="L441" s="2" t="s">
        <v>1944</v>
      </c>
    </row>
    <row r="442">
      <c r="A442" s="2" t="s">
        <v>1945</v>
      </c>
      <c r="B442" s="2" t="s">
        <v>1946</v>
      </c>
      <c r="C442" s="2" t="s">
        <v>14</v>
      </c>
      <c r="D442" s="2" t="s">
        <v>15</v>
      </c>
      <c r="E442" s="2" t="s">
        <v>23</v>
      </c>
      <c r="F442" s="3">
        <f>+5490381207483</f>
        <v>5490381207483</v>
      </c>
      <c r="G442" s="2" t="s">
        <v>1947</v>
      </c>
      <c r="H442" s="2" t="s">
        <v>55</v>
      </c>
      <c r="I442" s="2" t="s">
        <v>883</v>
      </c>
      <c r="J442" s="2" t="s">
        <v>1948</v>
      </c>
      <c r="K442" s="4">
        <v>46139.0</v>
      </c>
      <c r="L442" s="2" t="s">
        <v>1949</v>
      </c>
    </row>
    <row r="443">
      <c r="A443" s="2" t="s">
        <v>1950</v>
      </c>
      <c r="B443" s="2" t="s">
        <v>1951</v>
      </c>
      <c r="C443" s="2" t="s">
        <v>14</v>
      </c>
      <c r="D443" s="2" t="s">
        <v>15</v>
      </c>
      <c r="E443" s="2" t="s">
        <v>23</v>
      </c>
      <c r="F443" s="3">
        <f>+5493878347355</f>
        <v>5493878347355</v>
      </c>
      <c r="G443" s="2" t="s">
        <v>1952</v>
      </c>
      <c r="H443" s="2" t="s">
        <v>725</v>
      </c>
      <c r="I443" s="2" t="s">
        <v>725</v>
      </c>
      <c r="J443" s="2" t="s">
        <v>1953</v>
      </c>
      <c r="K443" s="4">
        <v>46139.0</v>
      </c>
      <c r="L443" s="2" t="s">
        <v>1954</v>
      </c>
    </row>
    <row r="444">
      <c r="A444" s="2" t="s">
        <v>1955</v>
      </c>
      <c r="B444" s="2" t="s">
        <v>1956</v>
      </c>
      <c r="C444" s="2" t="s">
        <v>14</v>
      </c>
      <c r="D444" s="2" t="s">
        <v>15</v>
      </c>
      <c r="E444" s="2" t="s">
        <v>23</v>
      </c>
      <c r="F444" s="3">
        <f>+5491177078143</f>
        <v>5491177078143</v>
      </c>
      <c r="G444" s="2" t="s">
        <v>1957</v>
      </c>
      <c r="H444" s="2" t="s">
        <v>25</v>
      </c>
      <c r="I444" s="2" t="s">
        <v>486</v>
      </c>
      <c r="J444" s="2" t="s">
        <v>1934</v>
      </c>
      <c r="K444" s="4">
        <v>46139.0</v>
      </c>
      <c r="L444" s="2" t="s">
        <v>1958</v>
      </c>
    </row>
    <row r="445">
      <c r="A445" s="2" t="s">
        <v>1959</v>
      </c>
      <c r="B445" s="2" t="s">
        <v>1960</v>
      </c>
      <c r="C445" s="2" t="s">
        <v>185</v>
      </c>
      <c r="D445" s="2" t="s">
        <v>15</v>
      </c>
      <c r="E445" s="2" t="s">
        <v>23</v>
      </c>
      <c r="F445" s="3">
        <f>+5491111111111</f>
        <v>5491111111111</v>
      </c>
      <c r="G445" s="2" t="s">
        <v>1961</v>
      </c>
      <c r="H445" s="2" t="s">
        <v>25</v>
      </c>
      <c r="I445" s="2" t="s">
        <v>38</v>
      </c>
      <c r="J445" s="2" t="s">
        <v>103</v>
      </c>
      <c r="K445" s="4">
        <v>46139.0</v>
      </c>
      <c r="L445" s="2" t="s">
        <v>1962</v>
      </c>
    </row>
    <row r="446">
      <c r="A446" s="2" t="s">
        <v>1963</v>
      </c>
      <c r="B446" s="2" t="s">
        <v>1964</v>
      </c>
      <c r="C446" s="2" t="s">
        <v>14</v>
      </c>
      <c r="D446" s="2" t="s">
        <v>15</v>
      </c>
      <c r="E446" s="2" t="s">
        <v>23</v>
      </c>
      <c r="F446" s="3">
        <f>+5491122519304</f>
        <v>5491122519304</v>
      </c>
      <c r="G446" s="2" t="s">
        <v>1965</v>
      </c>
      <c r="H446" s="2" t="s">
        <v>25</v>
      </c>
      <c r="I446" s="2" t="s">
        <v>26</v>
      </c>
      <c r="J446" s="2" t="s">
        <v>1745</v>
      </c>
      <c r="K446" s="4">
        <v>46139.0</v>
      </c>
      <c r="L446" s="2" t="s">
        <v>1966</v>
      </c>
    </row>
    <row r="447">
      <c r="A447" s="2" t="s">
        <v>1967</v>
      </c>
      <c r="B447" s="2" t="s">
        <v>1968</v>
      </c>
      <c r="C447" s="2" t="s">
        <v>14</v>
      </c>
      <c r="D447" s="2" t="s">
        <v>15</v>
      </c>
      <c r="E447" s="2" t="s">
        <v>23</v>
      </c>
      <c r="F447" s="3">
        <f>+5492615160252</f>
        <v>5492615160252</v>
      </c>
      <c r="G447" s="2" t="s">
        <v>1969</v>
      </c>
      <c r="H447" s="2" t="s">
        <v>71</v>
      </c>
      <c r="I447" s="2" t="s">
        <v>902</v>
      </c>
      <c r="J447" s="2" t="s">
        <v>1970</v>
      </c>
      <c r="K447" s="4">
        <v>46139.0</v>
      </c>
      <c r="L447" s="2" t="s">
        <v>1971</v>
      </c>
    </row>
    <row r="448">
      <c r="A448" s="2" t="s">
        <v>1972</v>
      </c>
      <c r="B448" s="2" t="s">
        <v>1973</v>
      </c>
      <c r="C448" s="2" t="s">
        <v>14</v>
      </c>
      <c r="D448" s="2" t="s">
        <v>15</v>
      </c>
      <c r="E448" s="2" t="s">
        <v>23</v>
      </c>
      <c r="F448" s="3">
        <f>+5492213997278</f>
        <v>5492213997278</v>
      </c>
      <c r="G448" s="2" t="s">
        <v>1974</v>
      </c>
      <c r="H448" s="2" t="s">
        <v>25</v>
      </c>
      <c r="I448" s="2" t="s">
        <v>44</v>
      </c>
      <c r="J448" s="2" t="s">
        <v>1019</v>
      </c>
      <c r="K448" s="4">
        <v>46139.0</v>
      </c>
      <c r="L448" s="2" t="s">
        <v>1975</v>
      </c>
    </row>
    <row r="449">
      <c r="A449" s="2" t="s">
        <v>1976</v>
      </c>
      <c r="B449" s="2" t="s">
        <v>1977</v>
      </c>
      <c r="C449" s="2" t="s">
        <v>14</v>
      </c>
      <c r="D449" s="2" t="s">
        <v>15</v>
      </c>
      <c r="E449" s="2" t="s">
        <v>23</v>
      </c>
      <c r="F449" s="3">
        <f>+5492613868924</f>
        <v>5492613868924</v>
      </c>
      <c r="G449" s="2" t="s">
        <v>1978</v>
      </c>
      <c r="H449" s="2" t="s">
        <v>71</v>
      </c>
      <c r="I449" s="2" t="s">
        <v>902</v>
      </c>
      <c r="J449" s="2" t="s">
        <v>989</v>
      </c>
      <c r="K449" s="4">
        <v>46139.0</v>
      </c>
      <c r="L449" s="2" t="s">
        <v>1979</v>
      </c>
    </row>
    <row r="450">
      <c r="A450" s="2" t="s">
        <v>1980</v>
      </c>
      <c r="B450" s="2" t="s">
        <v>1981</v>
      </c>
      <c r="C450" s="2" t="s">
        <v>14</v>
      </c>
      <c r="D450" s="2" t="s">
        <v>15</v>
      </c>
      <c r="E450" s="2" t="s">
        <v>23</v>
      </c>
      <c r="F450" s="3">
        <f>+5492914376814</f>
        <v>5492914376814</v>
      </c>
      <c r="G450" s="2" t="s">
        <v>1982</v>
      </c>
      <c r="H450" s="2" t="s">
        <v>25</v>
      </c>
      <c r="I450" s="2" t="s">
        <v>841</v>
      </c>
      <c r="J450" s="2" t="s">
        <v>948</v>
      </c>
      <c r="K450" s="4">
        <v>46139.0</v>
      </c>
      <c r="L450" s="2" t="s">
        <v>1983</v>
      </c>
    </row>
    <row r="451">
      <c r="A451" s="2" t="s">
        <v>1984</v>
      </c>
      <c r="B451" s="2" t="s">
        <v>1985</v>
      </c>
      <c r="C451" s="2" t="s">
        <v>14</v>
      </c>
      <c r="D451" s="2" t="s">
        <v>15</v>
      </c>
      <c r="E451" s="2" t="s">
        <v>23</v>
      </c>
      <c r="F451" s="3">
        <f>+5491157174701</f>
        <v>5491157174701</v>
      </c>
      <c r="G451" s="2" t="s">
        <v>1986</v>
      </c>
      <c r="H451" s="2" t="s">
        <v>25</v>
      </c>
      <c r="I451" s="2" t="s">
        <v>230</v>
      </c>
      <c r="J451" s="2" t="s">
        <v>231</v>
      </c>
      <c r="K451" s="4">
        <v>46139.0</v>
      </c>
      <c r="L451" s="2" t="s">
        <v>1987</v>
      </c>
    </row>
    <row r="452">
      <c r="A452" s="2" t="s">
        <v>1988</v>
      </c>
      <c r="B452" s="2" t="s">
        <v>1989</v>
      </c>
      <c r="C452" s="2" t="s">
        <v>14</v>
      </c>
      <c r="D452" s="2" t="s">
        <v>15</v>
      </c>
      <c r="E452" s="2" t="s">
        <v>23</v>
      </c>
      <c r="F452" s="3">
        <f>+5492235130325</f>
        <v>5492235130325</v>
      </c>
      <c r="G452" s="2" t="s">
        <v>1990</v>
      </c>
      <c r="H452" s="2" t="s">
        <v>25</v>
      </c>
      <c r="I452" s="2" t="s">
        <v>649</v>
      </c>
      <c r="J452" s="2" t="s">
        <v>1991</v>
      </c>
      <c r="K452" s="4">
        <v>46139.0</v>
      </c>
      <c r="L452" s="2" t="s">
        <v>1992</v>
      </c>
    </row>
    <row r="453">
      <c r="A453" s="2" t="s">
        <v>1993</v>
      </c>
      <c r="B453" s="2" t="s">
        <v>1994</v>
      </c>
      <c r="C453" s="2" t="s">
        <v>14</v>
      </c>
      <c r="D453" s="2" t="s">
        <v>15</v>
      </c>
      <c r="E453" s="2" t="s">
        <v>23</v>
      </c>
      <c r="F453" s="3">
        <f>+5491155932678</f>
        <v>5491155932678</v>
      </c>
      <c r="G453" s="2" t="s">
        <v>1995</v>
      </c>
      <c r="H453" s="2" t="s">
        <v>25</v>
      </c>
      <c r="I453" s="2" t="s">
        <v>764</v>
      </c>
      <c r="J453" s="2" t="s">
        <v>765</v>
      </c>
      <c r="K453" s="4">
        <v>46139.0</v>
      </c>
      <c r="L453" s="2" t="s">
        <v>1996</v>
      </c>
    </row>
    <row r="454">
      <c r="A454" s="2" t="s">
        <v>1997</v>
      </c>
      <c r="B454" s="2" t="s">
        <v>1998</v>
      </c>
      <c r="C454" s="2" t="s">
        <v>14</v>
      </c>
      <c r="D454" s="2" t="s">
        <v>15</v>
      </c>
      <c r="E454" s="2" t="s">
        <v>23</v>
      </c>
      <c r="F454" s="3">
        <f>+5491144375085</f>
        <v>5491144375085</v>
      </c>
      <c r="G454" s="2" t="s">
        <v>1999</v>
      </c>
      <c r="H454" s="2" t="s">
        <v>32</v>
      </c>
      <c r="I454" s="2" t="s">
        <v>25</v>
      </c>
      <c r="J454" s="2" t="s">
        <v>403</v>
      </c>
      <c r="K454" s="4">
        <v>46139.0</v>
      </c>
      <c r="L454" s="2" t="s">
        <v>2000</v>
      </c>
    </row>
    <row r="455">
      <c r="A455" s="2" t="s">
        <v>2001</v>
      </c>
      <c r="B455" s="2" t="s">
        <v>2002</v>
      </c>
      <c r="C455" s="2" t="s">
        <v>14</v>
      </c>
      <c r="D455" s="2" t="s">
        <v>15</v>
      </c>
      <c r="E455" s="2" t="s">
        <v>23</v>
      </c>
      <c r="F455" s="3">
        <f>+5491171074705</f>
        <v>5491171074705</v>
      </c>
      <c r="G455" s="2" t="s">
        <v>151</v>
      </c>
      <c r="H455" s="2" t="s">
        <v>25</v>
      </c>
      <c r="I455" s="2" t="s">
        <v>118</v>
      </c>
      <c r="J455" s="2" t="s">
        <v>119</v>
      </c>
      <c r="K455" s="4">
        <v>46139.0</v>
      </c>
      <c r="L455" s="2" t="s">
        <v>2003</v>
      </c>
    </row>
    <row r="456">
      <c r="A456" s="2" t="s">
        <v>2004</v>
      </c>
      <c r="B456" s="2" t="s">
        <v>2005</v>
      </c>
      <c r="C456" s="2" t="s">
        <v>14</v>
      </c>
      <c r="D456" s="2" t="s">
        <v>15</v>
      </c>
      <c r="E456" s="2" t="s">
        <v>16</v>
      </c>
      <c r="F456" s="3">
        <f>+5491135936146</f>
        <v>5491135936146</v>
      </c>
      <c r="G456" s="2" t="s">
        <v>1891</v>
      </c>
      <c r="H456" s="2" t="s">
        <v>25</v>
      </c>
      <c r="I456" s="2" t="s">
        <v>97</v>
      </c>
      <c r="J456" s="2" t="s">
        <v>98</v>
      </c>
      <c r="K456" s="4">
        <v>46139.0</v>
      </c>
      <c r="L456" s="2" t="s">
        <v>1892</v>
      </c>
    </row>
    <row r="457">
      <c r="A457" s="2" t="s">
        <v>2006</v>
      </c>
      <c r="B457" s="2" t="s">
        <v>2007</v>
      </c>
      <c r="C457" s="2" t="s">
        <v>14</v>
      </c>
      <c r="D457" s="2" t="s">
        <v>15</v>
      </c>
      <c r="E457" s="2" t="s">
        <v>23</v>
      </c>
      <c r="F457" s="3">
        <f>+5491155716988</f>
        <v>5491155716988</v>
      </c>
      <c r="G457" s="2" t="s">
        <v>2008</v>
      </c>
      <c r="H457" s="2" t="s">
        <v>32</v>
      </c>
      <c r="I457" s="2" t="s">
        <v>25</v>
      </c>
      <c r="J457" s="2" t="s">
        <v>2009</v>
      </c>
      <c r="K457" s="4">
        <v>46138.0</v>
      </c>
      <c r="L457" s="2" t="s">
        <v>2010</v>
      </c>
    </row>
    <row r="458">
      <c r="A458" s="2" t="s">
        <v>2011</v>
      </c>
      <c r="B458" s="2" t="s">
        <v>2012</v>
      </c>
      <c r="C458" s="2" t="s">
        <v>14</v>
      </c>
      <c r="D458" s="2" t="s">
        <v>15</v>
      </c>
      <c r="E458" s="2" t="s">
        <v>23</v>
      </c>
      <c r="F458" s="3">
        <f>+5492216043338</f>
        <v>5492216043338</v>
      </c>
      <c r="G458" s="2" t="s">
        <v>2013</v>
      </c>
      <c r="H458" s="2" t="s">
        <v>25</v>
      </c>
      <c r="I458" s="2" t="s">
        <v>44</v>
      </c>
      <c r="J458" s="2" t="s">
        <v>44</v>
      </c>
      <c r="K458" s="4">
        <v>46138.0</v>
      </c>
      <c r="L458" s="2" t="s">
        <v>2014</v>
      </c>
    </row>
    <row r="459">
      <c r="A459" s="2" t="s">
        <v>2015</v>
      </c>
      <c r="B459" s="2" t="s">
        <v>2016</v>
      </c>
      <c r="C459" s="2" t="s">
        <v>14</v>
      </c>
      <c r="D459" s="2" t="s">
        <v>15</v>
      </c>
      <c r="E459" s="2" t="s">
        <v>23</v>
      </c>
      <c r="F459" s="3">
        <f>+5491530622412</f>
        <v>5491530622412</v>
      </c>
      <c r="G459" s="2" t="s">
        <v>2017</v>
      </c>
      <c r="H459" s="2" t="s">
        <v>25</v>
      </c>
      <c r="I459" s="2" t="s">
        <v>246</v>
      </c>
      <c r="J459" s="2" t="s">
        <v>2018</v>
      </c>
      <c r="K459" s="4">
        <v>46138.0</v>
      </c>
      <c r="L459" s="2" t="s">
        <v>2019</v>
      </c>
    </row>
    <row r="460">
      <c r="A460" s="2" t="s">
        <v>2020</v>
      </c>
      <c r="B460" s="2" t="s">
        <v>2021</v>
      </c>
      <c r="C460" s="2" t="s">
        <v>14</v>
      </c>
      <c r="D460" s="2" t="s">
        <v>15</v>
      </c>
      <c r="E460" s="2" t="s">
        <v>23</v>
      </c>
      <c r="F460" s="3">
        <f>+5491161057541</f>
        <v>5491161057541</v>
      </c>
      <c r="G460" s="2" t="s">
        <v>2022</v>
      </c>
      <c r="H460" s="2" t="s">
        <v>32</v>
      </c>
      <c r="I460" s="2" t="s">
        <v>25</v>
      </c>
      <c r="J460" s="2" t="s">
        <v>759</v>
      </c>
      <c r="K460" s="4">
        <v>46137.0</v>
      </c>
      <c r="L460" s="2" t="s">
        <v>2023</v>
      </c>
    </row>
    <row r="461">
      <c r="A461" s="2" t="s">
        <v>2024</v>
      </c>
      <c r="B461" s="2" t="s">
        <v>2025</v>
      </c>
      <c r="C461" s="2" t="s">
        <v>14</v>
      </c>
      <c r="D461" s="2" t="s">
        <v>15</v>
      </c>
      <c r="E461" s="2" t="s">
        <v>23</v>
      </c>
      <c r="F461" s="3">
        <f>+5493412747092</f>
        <v>5493412747092</v>
      </c>
      <c r="G461" s="2" t="s">
        <v>2026</v>
      </c>
      <c r="H461" s="2" t="s">
        <v>65</v>
      </c>
      <c r="I461" s="2" t="s">
        <v>218</v>
      </c>
      <c r="J461" s="2" t="s">
        <v>219</v>
      </c>
      <c r="K461" s="4">
        <v>46137.0</v>
      </c>
      <c r="L461" s="2" t="s">
        <v>2027</v>
      </c>
    </row>
    <row r="462">
      <c r="A462" s="2" t="s">
        <v>2028</v>
      </c>
      <c r="B462" s="2" t="s">
        <v>2029</v>
      </c>
      <c r="C462" s="2" t="s">
        <v>14</v>
      </c>
      <c r="D462" s="2" t="s">
        <v>15</v>
      </c>
      <c r="E462" s="2" t="s">
        <v>23</v>
      </c>
      <c r="F462" s="3">
        <f>+5491125796474</f>
        <v>5491125796474</v>
      </c>
      <c r="G462" s="2" t="s">
        <v>2030</v>
      </c>
      <c r="H462" s="2" t="s">
        <v>25</v>
      </c>
      <c r="I462" s="2" t="s">
        <v>49</v>
      </c>
      <c r="J462" s="2" t="s">
        <v>2031</v>
      </c>
      <c r="K462" s="4">
        <v>46137.0</v>
      </c>
      <c r="L462" s="2" t="s">
        <v>2032</v>
      </c>
    </row>
    <row r="463">
      <c r="A463" s="2" t="s">
        <v>2033</v>
      </c>
      <c r="B463" s="2" t="s">
        <v>2034</v>
      </c>
      <c r="C463" s="2" t="s">
        <v>14</v>
      </c>
      <c r="D463" s="2" t="s">
        <v>15</v>
      </c>
      <c r="E463" s="2" t="s">
        <v>23</v>
      </c>
      <c r="F463" s="3">
        <f>+5492616809480</f>
        <v>5492616809480</v>
      </c>
      <c r="G463" s="2" t="s">
        <v>2035</v>
      </c>
      <c r="H463" s="2" t="s">
        <v>71</v>
      </c>
      <c r="I463" s="2" t="s">
        <v>72</v>
      </c>
      <c r="J463" s="2" t="s">
        <v>336</v>
      </c>
      <c r="K463" s="4">
        <v>46137.0</v>
      </c>
      <c r="L463" s="2" t="s">
        <v>2036</v>
      </c>
    </row>
    <row r="464">
      <c r="A464" s="2" t="s">
        <v>2037</v>
      </c>
      <c r="B464" s="2" t="s">
        <v>2038</v>
      </c>
      <c r="C464" s="2" t="s">
        <v>14</v>
      </c>
      <c r="D464" s="2" t="s">
        <v>15</v>
      </c>
      <c r="E464" s="2" t="s">
        <v>23</v>
      </c>
      <c r="F464" s="3">
        <f>+5491131156137</f>
        <v>5491131156137</v>
      </c>
      <c r="G464" s="2" t="s">
        <v>2039</v>
      </c>
      <c r="H464" s="2" t="s">
        <v>32</v>
      </c>
      <c r="I464" s="2" t="s">
        <v>25</v>
      </c>
      <c r="J464" s="2" t="s">
        <v>213</v>
      </c>
      <c r="K464" s="4">
        <v>46137.0</v>
      </c>
      <c r="L464" s="2" t="s">
        <v>2040</v>
      </c>
    </row>
    <row r="465">
      <c r="A465" s="2" t="s">
        <v>2041</v>
      </c>
      <c r="B465" s="2" t="s">
        <v>2042</v>
      </c>
      <c r="C465" s="2" t="s">
        <v>185</v>
      </c>
      <c r="D465" s="2" t="s">
        <v>15</v>
      </c>
      <c r="E465" s="2" t="s">
        <v>23</v>
      </c>
      <c r="F465" s="3">
        <f>+541166444340</f>
        <v>541166444340</v>
      </c>
      <c r="G465" s="2" t="s">
        <v>2043</v>
      </c>
      <c r="H465" s="2" t="s">
        <v>32</v>
      </c>
      <c r="I465" s="2" t="s">
        <v>25</v>
      </c>
      <c r="J465" s="2" t="s">
        <v>2044</v>
      </c>
      <c r="K465" s="4">
        <v>46137.0</v>
      </c>
      <c r="L465" s="2" t="s">
        <v>2045</v>
      </c>
    </row>
    <row r="466">
      <c r="A466" s="2" t="s">
        <v>2046</v>
      </c>
      <c r="B466" s="2" t="s">
        <v>2047</v>
      </c>
      <c r="C466" s="2" t="s">
        <v>14</v>
      </c>
      <c r="D466" s="2" t="s">
        <v>15</v>
      </c>
      <c r="E466" s="2" t="s">
        <v>23</v>
      </c>
      <c r="F466" s="3">
        <f>+5491168330469</f>
        <v>5491168330469</v>
      </c>
      <c r="G466" s="2" t="s">
        <v>2048</v>
      </c>
      <c r="H466" s="2" t="s">
        <v>32</v>
      </c>
      <c r="I466" s="2" t="s">
        <v>25</v>
      </c>
      <c r="J466" s="2" t="s">
        <v>1444</v>
      </c>
      <c r="K466" s="4">
        <v>46137.0</v>
      </c>
      <c r="L466" s="2" t="s">
        <v>2049</v>
      </c>
    </row>
    <row r="467">
      <c r="A467" s="2" t="s">
        <v>2050</v>
      </c>
      <c r="B467" s="2" t="s">
        <v>2051</v>
      </c>
      <c r="C467" s="2" t="s">
        <v>14</v>
      </c>
      <c r="D467" s="2" t="s">
        <v>15</v>
      </c>
      <c r="E467" s="2" t="s">
        <v>23</v>
      </c>
      <c r="F467" s="3">
        <f>+54901161947086</f>
        <v>54901161947086</v>
      </c>
      <c r="G467" s="2" t="s">
        <v>2052</v>
      </c>
      <c r="H467" s="2" t="s">
        <v>25</v>
      </c>
      <c r="I467" s="2" t="s">
        <v>309</v>
      </c>
      <c r="J467" s="2" t="s">
        <v>309</v>
      </c>
      <c r="K467" s="4">
        <v>46137.0</v>
      </c>
      <c r="L467" s="2" t="s">
        <v>2053</v>
      </c>
    </row>
    <row r="468">
      <c r="A468" s="2" t="s">
        <v>2054</v>
      </c>
      <c r="B468" s="2" t="s">
        <v>2055</v>
      </c>
      <c r="C468" s="2" t="s">
        <v>14</v>
      </c>
      <c r="D468" s="2" t="s">
        <v>15</v>
      </c>
      <c r="E468" s="2" t="s">
        <v>23</v>
      </c>
      <c r="F468" s="3">
        <f>+5491134556303</f>
        <v>5491134556303</v>
      </c>
      <c r="G468" s="2" t="s">
        <v>2056</v>
      </c>
      <c r="H468" s="2" t="s">
        <v>25</v>
      </c>
      <c r="I468" s="2" t="s">
        <v>314</v>
      </c>
      <c r="J468" s="2" t="s">
        <v>1075</v>
      </c>
      <c r="K468" s="4">
        <v>46137.0</v>
      </c>
      <c r="L468" s="2" t="s">
        <v>2057</v>
      </c>
    </row>
    <row r="469">
      <c r="A469" s="2" t="s">
        <v>2058</v>
      </c>
      <c r="B469" s="2" t="s">
        <v>2059</v>
      </c>
      <c r="C469" s="2" t="s">
        <v>14</v>
      </c>
      <c r="D469" s="2" t="s">
        <v>15</v>
      </c>
      <c r="E469" s="2" t="s">
        <v>23</v>
      </c>
      <c r="F469" s="3">
        <f>+5491135781878</f>
        <v>5491135781878</v>
      </c>
      <c r="G469" s="2" t="s">
        <v>2060</v>
      </c>
      <c r="H469" s="2" t="s">
        <v>32</v>
      </c>
      <c r="I469" s="2" t="s">
        <v>25</v>
      </c>
      <c r="J469" s="2" t="s">
        <v>33</v>
      </c>
      <c r="K469" s="4">
        <v>46137.0</v>
      </c>
      <c r="L469" s="2" t="s">
        <v>2061</v>
      </c>
    </row>
    <row r="470">
      <c r="A470" s="2" t="s">
        <v>2062</v>
      </c>
      <c r="B470" s="2" t="s">
        <v>2063</v>
      </c>
      <c r="C470" s="2" t="s">
        <v>14</v>
      </c>
      <c r="D470" s="2" t="s">
        <v>15</v>
      </c>
      <c r="E470" s="2" t="s">
        <v>23</v>
      </c>
      <c r="F470" s="3">
        <f>+5491168559880</f>
        <v>5491168559880</v>
      </c>
      <c r="G470" s="2" t="s">
        <v>2064</v>
      </c>
      <c r="H470" s="2" t="s">
        <v>32</v>
      </c>
      <c r="I470" s="2" t="s">
        <v>25</v>
      </c>
      <c r="J470" s="2" t="s">
        <v>143</v>
      </c>
      <c r="K470" s="4">
        <v>46137.0</v>
      </c>
      <c r="L470" s="2" t="s">
        <v>2065</v>
      </c>
    </row>
    <row r="471">
      <c r="A471" s="2" t="s">
        <v>2066</v>
      </c>
      <c r="B471" s="2" t="s">
        <v>2067</v>
      </c>
      <c r="C471" s="2" t="s">
        <v>14</v>
      </c>
      <c r="D471" s="2" t="s">
        <v>15</v>
      </c>
      <c r="E471" s="2" t="s">
        <v>23</v>
      </c>
      <c r="F471" s="3">
        <f>+5492615193552</f>
        <v>5492615193552</v>
      </c>
      <c r="G471" s="2" t="s">
        <v>2068</v>
      </c>
      <c r="H471" s="2" t="s">
        <v>71</v>
      </c>
      <c r="I471" s="2" t="s">
        <v>1625</v>
      </c>
      <c r="J471" s="2" t="s">
        <v>2069</v>
      </c>
      <c r="K471" s="4">
        <v>46137.0</v>
      </c>
      <c r="L471" s="2" t="s">
        <v>2070</v>
      </c>
    </row>
    <row r="472">
      <c r="A472" s="2" t="s">
        <v>2071</v>
      </c>
      <c r="B472" s="2" t="s">
        <v>2072</v>
      </c>
      <c r="C472" s="2" t="s">
        <v>14</v>
      </c>
      <c r="D472" s="2" t="s">
        <v>15</v>
      </c>
      <c r="E472" s="2" t="s">
        <v>23</v>
      </c>
      <c r="F472" s="3">
        <f>+5491173651534</f>
        <v>5491173651534</v>
      </c>
      <c r="G472" s="2" t="s">
        <v>2073</v>
      </c>
      <c r="H472" s="2" t="s">
        <v>25</v>
      </c>
      <c r="I472" s="2" t="s">
        <v>38</v>
      </c>
      <c r="J472" s="2" t="s">
        <v>39</v>
      </c>
      <c r="K472" s="4">
        <v>46137.0</v>
      </c>
      <c r="L472" s="2" t="s">
        <v>2074</v>
      </c>
    </row>
    <row r="473">
      <c r="A473" s="2" t="s">
        <v>2075</v>
      </c>
      <c r="B473" s="2" t="s">
        <v>2076</v>
      </c>
      <c r="C473" s="2" t="s">
        <v>14</v>
      </c>
      <c r="D473" s="2" t="s">
        <v>15</v>
      </c>
      <c r="E473" s="2" t="s">
        <v>23</v>
      </c>
      <c r="F473" s="3">
        <f>+5491133920807</f>
        <v>5491133920807</v>
      </c>
      <c r="G473" s="2" t="s">
        <v>2077</v>
      </c>
      <c r="H473" s="2" t="s">
        <v>25</v>
      </c>
      <c r="I473" s="2" t="s">
        <v>84</v>
      </c>
      <c r="J473" s="2" t="s">
        <v>2078</v>
      </c>
      <c r="K473" s="4">
        <v>46137.0</v>
      </c>
      <c r="L473" s="2" t="s">
        <v>2079</v>
      </c>
    </row>
    <row r="474">
      <c r="A474" s="2" t="s">
        <v>2080</v>
      </c>
      <c r="B474" s="2" t="s">
        <v>2081</v>
      </c>
      <c r="C474" s="2" t="s">
        <v>14</v>
      </c>
      <c r="D474" s="2" t="s">
        <v>15</v>
      </c>
      <c r="E474" s="2" t="s">
        <v>23</v>
      </c>
      <c r="F474" s="3">
        <f>+5491177171432</f>
        <v>5491177171432</v>
      </c>
      <c r="G474" s="2" t="s">
        <v>2082</v>
      </c>
      <c r="H474" s="2" t="s">
        <v>25</v>
      </c>
      <c r="I474" s="2" t="s">
        <v>97</v>
      </c>
      <c r="J474" s="2" t="s">
        <v>98</v>
      </c>
      <c r="K474" s="4">
        <v>46137.0</v>
      </c>
      <c r="L474" s="2" t="s">
        <v>2083</v>
      </c>
    </row>
    <row r="475">
      <c r="A475" s="2" t="s">
        <v>2084</v>
      </c>
      <c r="B475" s="2" t="s">
        <v>2085</v>
      </c>
      <c r="C475" s="2" t="s">
        <v>14</v>
      </c>
      <c r="D475" s="2" t="s">
        <v>15</v>
      </c>
      <c r="E475" s="2" t="s">
        <v>23</v>
      </c>
      <c r="F475" s="3">
        <f>+5491149722241</f>
        <v>5491149722241</v>
      </c>
      <c r="G475" s="2" t="s">
        <v>2086</v>
      </c>
      <c r="H475" s="2" t="s">
        <v>32</v>
      </c>
      <c r="I475" s="2" t="s">
        <v>25</v>
      </c>
      <c r="J475" s="2" t="s">
        <v>33</v>
      </c>
      <c r="K475" s="4">
        <v>46137.0</v>
      </c>
      <c r="L475" s="2" t="s">
        <v>2087</v>
      </c>
    </row>
    <row r="476">
      <c r="A476" s="2" t="s">
        <v>2088</v>
      </c>
      <c r="B476" s="2" t="s">
        <v>2089</v>
      </c>
      <c r="C476" s="2" t="s">
        <v>14</v>
      </c>
      <c r="D476" s="2" t="s">
        <v>15</v>
      </c>
      <c r="E476" s="2" t="s">
        <v>23</v>
      </c>
      <c r="F476" s="3">
        <f>+5491176165371</f>
        <v>5491176165371</v>
      </c>
      <c r="G476" s="2" t="s">
        <v>2090</v>
      </c>
      <c r="H476" s="2" t="s">
        <v>25</v>
      </c>
      <c r="I476" s="2" t="s">
        <v>49</v>
      </c>
      <c r="J476" s="2" t="s">
        <v>49</v>
      </c>
      <c r="K476" s="4">
        <v>46137.0</v>
      </c>
      <c r="L476" s="2" t="s">
        <v>2091</v>
      </c>
    </row>
    <row r="477">
      <c r="A477" s="2" t="s">
        <v>2092</v>
      </c>
      <c r="B477" s="2" t="s">
        <v>2093</v>
      </c>
      <c r="C477" s="2" t="s">
        <v>14</v>
      </c>
      <c r="D477" s="2" t="s">
        <v>15</v>
      </c>
      <c r="E477" s="2" t="s">
        <v>23</v>
      </c>
      <c r="F477" s="3">
        <f>+5491134588184</f>
        <v>5491134588184</v>
      </c>
      <c r="G477" s="2" t="s">
        <v>2094</v>
      </c>
      <c r="H477" s="2" t="s">
        <v>25</v>
      </c>
      <c r="I477" s="2" t="s">
        <v>49</v>
      </c>
      <c r="J477" s="2" t="s">
        <v>49</v>
      </c>
      <c r="K477" s="4">
        <v>46137.0</v>
      </c>
      <c r="L477" s="2" t="s">
        <v>2095</v>
      </c>
    </row>
    <row r="478">
      <c r="A478" s="2" t="s">
        <v>2096</v>
      </c>
      <c r="B478" s="2" t="s">
        <v>2097</v>
      </c>
      <c r="C478" s="2" t="s">
        <v>14</v>
      </c>
      <c r="D478" s="2" t="s">
        <v>15</v>
      </c>
      <c r="E478" s="2" t="s">
        <v>23</v>
      </c>
      <c r="F478" s="3">
        <f>+5491132976685</f>
        <v>5491132976685</v>
      </c>
      <c r="G478" s="2" t="s">
        <v>2098</v>
      </c>
      <c r="H478" s="2" t="s">
        <v>25</v>
      </c>
      <c r="I478" s="2" t="s">
        <v>236</v>
      </c>
      <c r="J478" s="2" t="s">
        <v>2099</v>
      </c>
      <c r="K478" s="4">
        <v>46137.0</v>
      </c>
      <c r="L478" s="2" t="s">
        <v>2100</v>
      </c>
    </row>
    <row r="479">
      <c r="A479" s="2" t="s">
        <v>2101</v>
      </c>
      <c r="B479" s="2" t="s">
        <v>2102</v>
      </c>
      <c r="C479" s="2" t="s">
        <v>14</v>
      </c>
      <c r="D479" s="2" t="s">
        <v>15</v>
      </c>
      <c r="E479" s="2" t="s">
        <v>16</v>
      </c>
      <c r="F479" s="3">
        <f>+5491121850151</f>
        <v>5491121850151</v>
      </c>
      <c r="G479" s="2" t="s">
        <v>2103</v>
      </c>
      <c r="H479" s="2" t="s">
        <v>25</v>
      </c>
      <c r="I479" s="2" t="s">
        <v>84</v>
      </c>
      <c r="J479" s="2" t="s">
        <v>1699</v>
      </c>
      <c r="K479" s="4">
        <v>46136.0</v>
      </c>
      <c r="L479" s="2" t="s">
        <v>2104</v>
      </c>
    </row>
    <row r="480">
      <c r="A480" s="2" t="s">
        <v>2105</v>
      </c>
      <c r="B480" s="2" t="s">
        <v>2106</v>
      </c>
      <c r="C480" s="2" t="s">
        <v>14</v>
      </c>
      <c r="D480" s="2" t="s">
        <v>15</v>
      </c>
      <c r="E480" s="2" t="s">
        <v>23</v>
      </c>
      <c r="F480" s="3">
        <f>+5492215527176</f>
        <v>5492215527176</v>
      </c>
      <c r="G480" s="2" t="s">
        <v>2107</v>
      </c>
      <c r="H480" s="2" t="s">
        <v>25</v>
      </c>
      <c r="I480" s="2" t="s">
        <v>44</v>
      </c>
      <c r="J480" s="2" t="s">
        <v>1901</v>
      </c>
      <c r="K480" s="4">
        <v>46136.0</v>
      </c>
      <c r="L480" s="2" t="s">
        <v>2108</v>
      </c>
    </row>
    <row r="481">
      <c r="A481" s="2" t="s">
        <v>2109</v>
      </c>
      <c r="B481" s="2" t="s">
        <v>2110</v>
      </c>
      <c r="C481" s="2" t="s">
        <v>14</v>
      </c>
      <c r="D481" s="2" t="s">
        <v>15</v>
      </c>
      <c r="E481" s="2" t="s">
        <v>23</v>
      </c>
      <c r="F481" s="3">
        <f>+5491164861595</f>
        <v>5491164861595</v>
      </c>
      <c r="G481" s="2" t="s">
        <v>2111</v>
      </c>
      <c r="H481" s="2" t="s">
        <v>25</v>
      </c>
      <c r="I481" s="2" t="s">
        <v>309</v>
      </c>
      <c r="J481" s="2" t="s">
        <v>2112</v>
      </c>
      <c r="K481" s="4">
        <v>46136.0</v>
      </c>
      <c r="L481" s="2" t="s">
        <v>2113</v>
      </c>
    </row>
    <row r="482">
      <c r="A482" s="2" t="s">
        <v>2114</v>
      </c>
      <c r="B482" s="2" t="s">
        <v>2115</v>
      </c>
      <c r="C482" s="2" t="s">
        <v>14</v>
      </c>
      <c r="D482" s="2" t="s">
        <v>15</v>
      </c>
      <c r="E482" s="2" t="s">
        <v>23</v>
      </c>
      <c r="F482" s="3">
        <f>+5491131691993</f>
        <v>5491131691993</v>
      </c>
      <c r="G482" s="2" t="s">
        <v>2116</v>
      </c>
      <c r="H482" s="2" t="s">
        <v>32</v>
      </c>
      <c r="I482" s="2" t="s">
        <v>25</v>
      </c>
      <c r="J482" s="2" t="s">
        <v>948</v>
      </c>
      <c r="K482" s="4">
        <v>46136.0</v>
      </c>
      <c r="L482" s="2" t="s">
        <v>2117</v>
      </c>
    </row>
    <row r="483">
      <c r="A483" s="2" t="s">
        <v>2118</v>
      </c>
      <c r="B483" s="2" t="s">
        <v>2119</v>
      </c>
      <c r="C483" s="2" t="s">
        <v>14</v>
      </c>
      <c r="D483" s="2" t="s">
        <v>15</v>
      </c>
      <c r="E483" s="2" t="s">
        <v>23</v>
      </c>
      <c r="F483" s="3">
        <f>+5491161921658</f>
        <v>5491161921658</v>
      </c>
      <c r="G483" s="2" t="s">
        <v>2120</v>
      </c>
      <c r="H483" s="2" t="s">
        <v>25</v>
      </c>
      <c r="I483" s="2" t="s">
        <v>203</v>
      </c>
      <c r="J483" s="2" t="s">
        <v>204</v>
      </c>
      <c r="K483" s="4">
        <v>46136.0</v>
      </c>
      <c r="L483" s="2" t="s">
        <v>2121</v>
      </c>
    </row>
    <row r="484">
      <c r="A484" s="2" t="s">
        <v>2122</v>
      </c>
      <c r="B484" s="2" t="s">
        <v>2123</v>
      </c>
      <c r="C484" s="2" t="s">
        <v>14</v>
      </c>
      <c r="D484" s="2" t="s">
        <v>15</v>
      </c>
      <c r="E484" s="2" t="s">
        <v>23</v>
      </c>
      <c r="F484" s="3">
        <f>+5491121691848</f>
        <v>5491121691848</v>
      </c>
      <c r="G484" s="2" t="s">
        <v>2124</v>
      </c>
      <c r="H484" s="2" t="s">
        <v>25</v>
      </c>
      <c r="I484" s="2" t="s">
        <v>230</v>
      </c>
      <c r="J484" s="2" t="s">
        <v>851</v>
      </c>
      <c r="K484" s="4">
        <v>46136.0</v>
      </c>
      <c r="L484" s="2" t="s">
        <v>2125</v>
      </c>
    </row>
    <row r="485">
      <c r="A485" s="2" t="s">
        <v>2126</v>
      </c>
      <c r="B485" s="2" t="s">
        <v>2127</v>
      </c>
      <c r="C485" s="2" t="s">
        <v>14</v>
      </c>
      <c r="D485" s="2" t="s">
        <v>15</v>
      </c>
      <c r="E485" s="2" t="s">
        <v>23</v>
      </c>
      <c r="F485" s="3">
        <f>+5492615453398</f>
        <v>5492615453398</v>
      </c>
      <c r="G485" s="2" t="s">
        <v>2128</v>
      </c>
      <c r="H485" s="2" t="s">
        <v>71</v>
      </c>
      <c r="I485" s="2" t="s">
        <v>1156</v>
      </c>
      <c r="J485" s="2" t="s">
        <v>2129</v>
      </c>
      <c r="K485" s="4">
        <v>46136.0</v>
      </c>
      <c r="L485" s="2" t="s">
        <v>2130</v>
      </c>
    </row>
    <row r="486">
      <c r="A486" s="2" t="s">
        <v>2131</v>
      </c>
      <c r="B486" s="2" t="s">
        <v>2132</v>
      </c>
      <c r="C486" s="2" t="s">
        <v>14</v>
      </c>
      <c r="D486" s="2" t="s">
        <v>15</v>
      </c>
      <c r="E486" s="2" t="s">
        <v>23</v>
      </c>
      <c r="F486" s="3">
        <f>+5491122351141</f>
        <v>5491122351141</v>
      </c>
      <c r="G486" s="2" t="s">
        <v>2133</v>
      </c>
      <c r="H486" s="2" t="s">
        <v>25</v>
      </c>
      <c r="I486" s="2" t="s">
        <v>550</v>
      </c>
      <c r="J486" s="2" t="s">
        <v>2134</v>
      </c>
      <c r="K486" s="4">
        <v>46136.0</v>
      </c>
      <c r="L486" s="2" t="s">
        <v>2135</v>
      </c>
    </row>
    <row r="487">
      <c r="A487" s="2" t="s">
        <v>2136</v>
      </c>
      <c r="B487" s="2" t="s">
        <v>2137</v>
      </c>
      <c r="C487" s="2" t="s">
        <v>14</v>
      </c>
      <c r="D487" s="2" t="s">
        <v>15</v>
      </c>
      <c r="E487" s="2" t="s">
        <v>23</v>
      </c>
      <c r="F487" s="3">
        <f>+5491162020202</f>
        <v>5491162020202</v>
      </c>
      <c r="G487" s="2" t="s">
        <v>2138</v>
      </c>
      <c r="H487" s="2" t="s">
        <v>25</v>
      </c>
      <c r="I487" s="2" t="s">
        <v>357</v>
      </c>
      <c r="J487" s="2" t="s">
        <v>357</v>
      </c>
      <c r="K487" s="4">
        <v>46136.0</v>
      </c>
      <c r="L487" s="2" t="s">
        <v>2139</v>
      </c>
    </row>
    <row r="488">
      <c r="A488" s="2" t="s">
        <v>2140</v>
      </c>
      <c r="B488" s="2" t="s">
        <v>2141</v>
      </c>
      <c r="C488" s="2" t="s">
        <v>14</v>
      </c>
      <c r="D488" s="2" t="s">
        <v>15</v>
      </c>
      <c r="E488" s="2" t="s">
        <v>23</v>
      </c>
      <c r="F488" s="3">
        <f>+5492612128490</f>
        <v>5492612128490</v>
      </c>
      <c r="G488" s="2" t="s">
        <v>2142</v>
      </c>
      <c r="H488" s="2" t="s">
        <v>71</v>
      </c>
      <c r="I488" s="2" t="s">
        <v>71</v>
      </c>
      <c r="J488" s="2" t="s">
        <v>917</v>
      </c>
      <c r="K488" s="4">
        <v>46136.0</v>
      </c>
      <c r="L488" s="2" t="s">
        <v>2143</v>
      </c>
    </row>
    <row r="489">
      <c r="A489" s="2" t="s">
        <v>2144</v>
      </c>
      <c r="B489" s="2" t="s">
        <v>2145</v>
      </c>
      <c r="C489" s="2" t="s">
        <v>14</v>
      </c>
      <c r="D489" s="2" t="s">
        <v>15</v>
      </c>
      <c r="E489" s="2" t="s">
        <v>23</v>
      </c>
      <c r="F489" s="3">
        <f>+5491165060022</f>
        <v>5491165060022</v>
      </c>
      <c r="G489" s="2" t="s">
        <v>2146</v>
      </c>
      <c r="H489" s="2" t="s">
        <v>32</v>
      </c>
      <c r="I489" s="2" t="s">
        <v>25</v>
      </c>
      <c r="J489" s="2" t="s">
        <v>143</v>
      </c>
      <c r="K489" s="4">
        <v>46136.0</v>
      </c>
      <c r="L489" s="2" t="s">
        <v>2147</v>
      </c>
    </row>
    <row r="490">
      <c r="A490" s="2" t="s">
        <v>2148</v>
      </c>
      <c r="B490" s="2" t="s">
        <v>2149</v>
      </c>
      <c r="C490" s="2" t="s">
        <v>14</v>
      </c>
      <c r="D490" s="2" t="s">
        <v>15</v>
      </c>
      <c r="E490" s="2" t="s">
        <v>23</v>
      </c>
      <c r="F490" s="3">
        <f>+5492235804641</f>
        <v>5492235804641</v>
      </c>
      <c r="G490" s="2" t="s">
        <v>2150</v>
      </c>
      <c r="H490" s="2" t="s">
        <v>25</v>
      </c>
      <c r="I490" s="2" t="s">
        <v>649</v>
      </c>
      <c r="J490" s="2" t="s">
        <v>2151</v>
      </c>
      <c r="K490" s="4">
        <v>46136.0</v>
      </c>
      <c r="L490" s="2" t="s">
        <v>2152</v>
      </c>
    </row>
    <row r="491">
      <c r="A491" s="2" t="s">
        <v>2153</v>
      </c>
      <c r="B491" s="2" t="s">
        <v>2154</v>
      </c>
      <c r="C491" s="2" t="s">
        <v>14</v>
      </c>
      <c r="D491" s="2" t="s">
        <v>15</v>
      </c>
      <c r="E491" s="2" t="s">
        <v>23</v>
      </c>
      <c r="F491" s="3">
        <f>+5491126225335</f>
        <v>5491126225335</v>
      </c>
      <c r="G491" s="2" t="s">
        <v>2155</v>
      </c>
      <c r="H491" s="2" t="s">
        <v>25</v>
      </c>
      <c r="I491" s="2" t="s">
        <v>84</v>
      </c>
      <c r="J491" s="2" t="s">
        <v>85</v>
      </c>
      <c r="K491" s="4">
        <v>46136.0</v>
      </c>
      <c r="L491" s="2" t="s">
        <v>2156</v>
      </c>
    </row>
    <row r="492">
      <c r="A492" s="2" t="s">
        <v>2157</v>
      </c>
      <c r="B492" s="2" t="s">
        <v>2158</v>
      </c>
      <c r="C492" s="2" t="s">
        <v>14</v>
      </c>
      <c r="D492" s="2" t="s">
        <v>15</v>
      </c>
      <c r="E492" s="2" t="s">
        <v>23</v>
      </c>
      <c r="F492" s="3">
        <f>+5492615876891</f>
        <v>5492615876891</v>
      </c>
      <c r="G492" s="2" t="s">
        <v>2159</v>
      </c>
      <c r="H492" s="2" t="s">
        <v>71</v>
      </c>
      <c r="I492" s="2" t="s">
        <v>1625</v>
      </c>
      <c r="J492" s="2" t="s">
        <v>2160</v>
      </c>
      <c r="K492" s="4">
        <v>46136.0</v>
      </c>
      <c r="L492" s="2" t="s">
        <v>2161</v>
      </c>
    </row>
    <row r="493">
      <c r="A493" s="2" t="s">
        <v>2162</v>
      </c>
      <c r="B493" s="2" t="s">
        <v>2163</v>
      </c>
      <c r="C493" s="2" t="s">
        <v>14</v>
      </c>
      <c r="D493" s="2" t="s">
        <v>15</v>
      </c>
      <c r="E493" s="2" t="s">
        <v>23</v>
      </c>
      <c r="F493" s="3">
        <f>+5491151475043</f>
        <v>5491151475043</v>
      </c>
      <c r="G493" s="2" t="s">
        <v>2164</v>
      </c>
      <c r="H493" s="2" t="s">
        <v>25</v>
      </c>
      <c r="I493" s="2" t="s">
        <v>481</v>
      </c>
      <c r="J493" s="2" t="s">
        <v>481</v>
      </c>
      <c r="K493" s="4">
        <v>46136.0</v>
      </c>
      <c r="L493" s="2" t="s">
        <v>2165</v>
      </c>
    </row>
    <row r="494">
      <c r="A494" s="2" t="s">
        <v>2166</v>
      </c>
      <c r="B494" s="2" t="s">
        <v>2167</v>
      </c>
      <c r="C494" s="2" t="s">
        <v>14</v>
      </c>
      <c r="D494" s="2" t="s">
        <v>15</v>
      </c>
      <c r="E494" s="2" t="s">
        <v>23</v>
      </c>
      <c r="F494" s="3">
        <f>+5491154170326</f>
        <v>5491154170326</v>
      </c>
      <c r="G494" s="2" t="s">
        <v>2168</v>
      </c>
      <c r="H494" s="2" t="s">
        <v>25</v>
      </c>
      <c r="I494" s="2" t="s">
        <v>550</v>
      </c>
      <c r="J494" s="2" t="s">
        <v>550</v>
      </c>
      <c r="K494" s="4">
        <v>46136.0</v>
      </c>
      <c r="L494" s="2" t="s">
        <v>2169</v>
      </c>
    </row>
    <row r="495">
      <c r="A495" s="2" t="s">
        <v>2170</v>
      </c>
      <c r="B495" s="2" t="s">
        <v>2171</v>
      </c>
      <c r="C495" s="2" t="s">
        <v>14</v>
      </c>
      <c r="D495" s="2" t="s">
        <v>15</v>
      </c>
      <c r="E495" s="2" t="s">
        <v>23</v>
      </c>
      <c r="F495" s="3">
        <f>+5491168081100</f>
        <v>5491168081100</v>
      </c>
      <c r="G495" s="2" t="s">
        <v>2172</v>
      </c>
      <c r="H495" s="2" t="s">
        <v>25</v>
      </c>
      <c r="I495" s="2" t="s">
        <v>957</v>
      </c>
      <c r="J495" s="2" t="s">
        <v>957</v>
      </c>
      <c r="K495" s="4">
        <v>46136.0</v>
      </c>
      <c r="L495" s="2" t="s">
        <v>2173</v>
      </c>
    </row>
    <row r="496">
      <c r="A496" s="2" t="s">
        <v>2174</v>
      </c>
      <c r="B496" s="2" t="s">
        <v>2175</v>
      </c>
      <c r="C496" s="2" t="s">
        <v>14</v>
      </c>
      <c r="D496" s="2" t="s">
        <v>15</v>
      </c>
      <c r="E496" s="2" t="s">
        <v>23</v>
      </c>
      <c r="F496" s="3">
        <f>+5491179036329</f>
        <v>5491179036329</v>
      </c>
      <c r="G496" s="2" t="s">
        <v>2176</v>
      </c>
      <c r="H496" s="2" t="s">
        <v>25</v>
      </c>
      <c r="I496" s="2" t="s">
        <v>481</v>
      </c>
      <c r="J496" s="2" t="s">
        <v>481</v>
      </c>
      <c r="K496" s="4">
        <v>46136.0</v>
      </c>
      <c r="L496" s="2" t="s">
        <v>2177</v>
      </c>
    </row>
    <row r="497">
      <c r="A497" s="2" t="s">
        <v>2178</v>
      </c>
      <c r="B497" s="2" t="s">
        <v>2179</v>
      </c>
      <c r="C497" s="2" t="s">
        <v>14</v>
      </c>
      <c r="D497" s="2" t="s">
        <v>15</v>
      </c>
      <c r="E497" s="2" t="s">
        <v>23</v>
      </c>
      <c r="F497" s="3">
        <f>+5491123514012</f>
        <v>5491123514012</v>
      </c>
      <c r="G497" s="2" t="s">
        <v>2180</v>
      </c>
      <c r="H497" s="2" t="s">
        <v>25</v>
      </c>
      <c r="I497" s="2" t="s">
        <v>309</v>
      </c>
      <c r="J497" s="2" t="s">
        <v>309</v>
      </c>
      <c r="K497" s="4">
        <v>46136.0</v>
      </c>
      <c r="L497" s="2" t="s">
        <v>2181</v>
      </c>
    </row>
    <row r="498">
      <c r="A498" s="2" t="s">
        <v>2182</v>
      </c>
      <c r="B498" s="2" t="s">
        <v>2183</v>
      </c>
      <c r="C498" s="2" t="s">
        <v>14</v>
      </c>
      <c r="D498" s="2" t="s">
        <v>15</v>
      </c>
      <c r="E498" s="2" t="s">
        <v>23</v>
      </c>
      <c r="F498" s="3">
        <f>+5493541671073</f>
        <v>5493541671073</v>
      </c>
      <c r="G498" s="2" t="s">
        <v>2184</v>
      </c>
      <c r="H498" s="2" t="s">
        <v>18</v>
      </c>
      <c r="I498" s="2" t="s">
        <v>535</v>
      </c>
      <c r="J498" s="2" t="s">
        <v>2185</v>
      </c>
      <c r="K498" s="4">
        <v>46136.0</v>
      </c>
      <c r="L498" s="2" t="s">
        <v>2186</v>
      </c>
    </row>
    <row r="499">
      <c r="A499" s="2" t="s">
        <v>2187</v>
      </c>
      <c r="B499" s="2" t="s">
        <v>2188</v>
      </c>
      <c r="C499" s="2" t="s">
        <v>14</v>
      </c>
      <c r="D499" s="2" t="s">
        <v>15</v>
      </c>
      <c r="E499" s="2" t="s">
        <v>23</v>
      </c>
      <c r="F499" s="3">
        <f>+5491164267702</f>
        <v>5491164267702</v>
      </c>
      <c r="G499" s="2" t="s">
        <v>2189</v>
      </c>
      <c r="H499" s="2" t="s">
        <v>25</v>
      </c>
      <c r="I499" s="2" t="s">
        <v>1349</v>
      </c>
      <c r="J499" s="2" t="s">
        <v>2190</v>
      </c>
      <c r="K499" s="4">
        <v>46136.0</v>
      </c>
      <c r="L499" s="2" t="s">
        <v>2191</v>
      </c>
    </row>
    <row r="500">
      <c r="A500" s="2" t="s">
        <v>2192</v>
      </c>
      <c r="B500" s="2" t="s">
        <v>2193</v>
      </c>
      <c r="C500" s="2" t="s">
        <v>14</v>
      </c>
      <c r="D500" s="2" t="s">
        <v>15</v>
      </c>
      <c r="E500" s="2" t="s">
        <v>23</v>
      </c>
      <c r="F500" s="3">
        <f>+5493855014961</f>
        <v>5493855014961</v>
      </c>
      <c r="G500" s="2" t="s">
        <v>2194</v>
      </c>
      <c r="H500" s="2" t="s">
        <v>18</v>
      </c>
      <c r="I500" s="2" t="s">
        <v>18</v>
      </c>
      <c r="J500" s="2" t="s">
        <v>219</v>
      </c>
      <c r="K500" s="4">
        <v>46136.0</v>
      </c>
      <c r="L500" s="2" t="s">
        <v>2195</v>
      </c>
    </row>
    <row r="501">
      <c r="A501" s="2" t="s">
        <v>2196</v>
      </c>
      <c r="B501" s="2" t="s">
        <v>2197</v>
      </c>
      <c r="C501" s="2" t="s">
        <v>14</v>
      </c>
      <c r="D501" s="2" t="s">
        <v>15</v>
      </c>
      <c r="E501" s="2" t="s">
        <v>23</v>
      </c>
      <c r="F501" s="3">
        <f>+5491159929866</f>
        <v>5491159929866</v>
      </c>
      <c r="G501" s="2" t="s">
        <v>2198</v>
      </c>
      <c r="H501" s="2" t="s">
        <v>25</v>
      </c>
      <c r="I501" s="2" t="s">
        <v>49</v>
      </c>
      <c r="J501" s="2" t="s">
        <v>49</v>
      </c>
      <c r="K501" s="4">
        <v>46136.0</v>
      </c>
      <c r="L501" s="2" t="s">
        <v>2199</v>
      </c>
    </row>
    <row r="502">
      <c r="A502" s="2" t="s">
        <v>2200</v>
      </c>
      <c r="B502" s="2" t="s">
        <v>2201</v>
      </c>
      <c r="C502" s="2" t="s">
        <v>14</v>
      </c>
      <c r="D502" s="2" t="s">
        <v>15</v>
      </c>
      <c r="E502" s="2" t="s">
        <v>23</v>
      </c>
      <c r="F502" s="3">
        <f>+5491135845540</f>
        <v>5491135845540</v>
      </c>
      <c r="G502" s="2" t="s">
        <v>2202</v>
      </c>
      <c r="H502" s="2" t="s">
        <v>25</v>
      </c>
      <c r="I502" s="2" t="s">
        <v>550</v>
      </c>
      <c r="J502" s="2" t="s">
        <v>550</v>
      </c>
      <c r="K502" s="4">
        <v>46136.0</v>
      </c>
      <c r="L502" s="2" t="s">
        <v>2203</v>
      </c>
    </row>
    <row r="503">
      <c r="A503" s="2" t="s">
        <v>2204</v>
      </c>
      <c r="B503" s="2" t="s">
        <v>2205</v>
      </c>
      <c r="C503" s="2" t="s">
        <v>14</v>
      </c>
      <c r="D503" s="2" t="s">
        <v>15</v>
      </c>
      <c r="E503" s="2" t="s">
        <v>23</v>
      </c>
      <c r="F503" s="3">
        <f>+5491138976892</f>
        <v>5491138976892</v>
      </c>
      <c r="G503" s="2" t="s">
        <v>2206</v>
      </c>
      <c r="H503" s="2" t="s">
        <v>32</v>
      </c>
      <c r="I503" s="2" t="s">
        <v>25</v>
      </c>
      <c r="J503" s="2" t="s">
        <v>846</v>
      </c>
      <c r="K503" s="4">
        <v>46136.0</v>
      </c>
      <c r="L503" s="2" t="s">
        <v>2207</v>
      </c>
    </row>
    <row r="504">
      <c r="A504" s="2" t="s">
        <v>2208</v>
      </c>
      <c r="B504" s="2" t="s">
        <v>2209</v>
      </c>
      <c r="C504" s="2" t="s">
        <v>14</v>
      </c>
      <c r="D504" s="2" t="s">
        <v>15</v>
      </c>
      <c r="E504" s="2" t="s">
        <v>23</v>
      </c>
      <c r="F504" s="3">
        <f>+5491131018879</f>
        <v>5491131018879</v>
      </c>
      <c r="G504" s="2" t="s">
        <v>2210</v>
      </c>
      <c r="H504" s="2" t="s">
        <v>25</v>
      </c>
      <c r="I504" s="2" t="s">
        <v>78</v>
      </c>
      <c r="J504" s="2" t="s">
        <v>78</v>
      </c>
      <c r="K504" s="4">
        <v>46136.0</v>
      </c>
      <c r="L504" s="2" t="s">
        <v>2211</v>
      </c>
    </row>
    <row r="505">
      <c r="A505" s="2" t="s">
        <v>2212</v>
      </c>
      <c r="B505" s="2" t="s">
        <v>2213</v>
      </c>
      <c r="C505" s="2" t="s">
        <v>14</v>
      </c>
      <c r="D505" s="2" t="s">
        <v>15</v>
      </c>
      <c r="E505" s="2" t="s">
        <v>23</v>
      </c>
      <c r="F505" s="3">
        <f>+5491144478292</f>
        <v>5491144478292</v>
      </c>
      <c r="G505" s="2" t="s">
        <v>2214</v>
      </c>
      <c r="H505" s="2" t="s">
        <v>25</v>
      </c>
      <c r="I505" s="2" t="s">
        <v>26</v>
      </c>
      <c r="J505" s="2" t="s">
        <v>2215</v>
      </c>
      <c r="K505" s="4">
        <v>46136.0</v>
      </c>
      <c r="L505" s="2" t="s">
        <v>2216</v>
      </c>
    </row>
    <row r="506">
      <c r="A506" s="2" t="s">
        <v>2217</v>
      </c>
      <c r="B506" s="2" t="s">
        <v>2218</v>
      </c>
      <c r="C506" s="2" t="s">
        <v>14</v>
      </c>
      <c r="D506" s="2" t="s">
        <v>15</v>
      </c>
      <c r="E506" s="2" t="s">
        <v>23</v>
      </c>
      <c r="F506" s="3">
        <f>+5492612130813</f>
        <v>5492612130813</v>
      </c>
      <c r="G506" s="2" t="s">
        <v>2219</v>
      </c>
      <c r="H506" s="2" t="s">
        <v>71</v>
      </c>
      <c r="I506" s="2" t="s">
        <v>1156</v>
      </c>
      <c r="J506" s="2" t="s">
        <v>1545</v>
      </c>
      <c r="K506" s="4">
        <v>46136.0</v>
      </c>
      <c r="L506" s="2" t="s">
        <v>2220</v>
      </c>
    </row>
    <row r="507">
      <c r="A507" s="2" t="s">
        <v>2221</v>
      </c>
      <c r="B507" s="2" t="s">
        <v>2222</v>
      </c>
      <c r="C507" s="2" t="s">
        <v>14</v>
      </c>
      <c r="D507" s="2" t="s">
        <v>15</v>
      </c>
      <c r="E507" s="2" t="s">
        <v>23</v>
      </c>
      <c r="F507" s="3">
        <f>+5491154147091</f>
        <v>5491154147091</v>
      </c>
      <c r="G507" s="2" t="s">
        <v>2223</v>
      </c>
      <c r="H507" s="2" t="s">
        <v>25</v>
      </c>
      <c r="I507" s="2" t="s">
        <v>241</v>
      </c>
      <c r="J507" s="2" t="s">
        <v>241</v>
      </c>
      <c r="K507" s="4">
        <v>46136.0</v>
      </c>
      <c r="L507" s="2" t="s">
        <v>2224</v>
      </c>
    </row>
    <row r="508">
      <c r="A508" s="2" t="s">
        <v>2225</v>
      </c>
      <c r="B508" s="2" t="s">
        <v>2226</v>
      </c>
      <c r="C508" s="2" t="s">
        <v>14</v>
      </c>
      <c r="D508" s="2" t="s">
        <v>15</v>
      </c>
      <c r="E508" s="2" t="s">
        <v>23</v>
      </c>
      <c r="F508" s="3">
        <f>+5491163554138</f>
        <v>5491163554138</v>
      </c>
      <c r="G508" s="2" t="s">
        <v>2227</v>
      </c>
      <c r="H508" s="2" t="s">
        <v>25</v>
      </c>
      <c r="I508" s="2" t="s">
        <v>26</v>
      </c>
      <c r="J508" s="2" t="s">
        <v>1280</v>
      </c>
      <c r="K508" s="4">
        <v>46136.0</v>
      </c>
      <c r="L508" s="2" t="s">
        <v>2228</v>
      </c>
    </row>
    <row r="509">
      <c r="A509" s="2" t="s">
        <v>2229</v>
      </c>
      <c r="B509" s="2" t="s">
        <v>2230</v>
      </c>
      <c r="C509" s="2" t="s">
        <v>14</v>
      </c>
      <c r="D509" s="2" t="s">
        <v>15</v>
      </c>
      <c r="E509" s="2" t="s">
        <v>16</v>
      </c>
      <c r="F509" s="3">
        <f>+5491123656514</f>
        <v>5491123656514</v>
      </c>
      <c r="G509" s="2" t="s">
        <v>2231</v>
      </c>
      <c r="H509" s="2" t="s">
        <v>25</v>
      </c>
      <c r="I509" s="2" t="s">
        <v>764</v>
      </c>
      <c r="J509" s="2" t="s">
        <v>1213</v>
      </c>
      <c r="K509" s="4">
        <v>46136.0</v>
      </c>
      <c r="L509" s="2" t="s">
        <v>2232</v>
      </c>
    </row>
    <row r="510">
      <c r="A510" s="2" t="s">
        <v>2233</v>
      </c>
      <c r="B510" s="2" t="s">
        <v>2234</v>
      </c>
      <c r="C510" s="2" t="s">
        <v>14</v>
      </c>
      <c r="D510" s="2" t="s">
        <v>15</v>
      </c>
      <c r="E510" s="2" t="s">
        <v>16</v>
      </c>
      <c r="F510" s="3">
        <f>+5491154247521</f>
        <v>5491154247521</v>
      </c>
      <c r="G510" s="2" t="s">
        <v>2235</v>
      </c>
      <c r="H510" s="2" t="s">
        <v>32</v>
      </c>
      <c r="I510" s="2" t="s">
        <v>25</v>
      </c>
      <c r="J510" s="2" t="s">
        <v>559</v>
      </c>
      <c r="K510" s="4">
        <v>46136.0</v>
      </c>
      <c r="L510" s="2" t="s">
        <v>1916</v>
      </c>
    </row>
    <row r="511">
      <c r="A511" s="2" t="s">
        <v>2236</v>
      </c>
      <c r="B511" s="2" t="s">
        <v>2237</v>
      </c>
      <c r="C511" s="2" t="s">
        <v>14</v>
      </c>
      <c r="D511" s="2" t="s">
        <v>15</v>
      </c>
      <c r="E511" s="2" t="s">
        <v>23</v>
      </c>
      <c r="F511" s="3">
        <f>+5491136913537</f>
        <v>5491136913537</v>
      </c>
      <c r="G511" s="2" t="s">
        <v>2238</v>
      </c>
      <c r="H511" s="2" t="s">
        <v>25</v>
      </c>
      <c r="I511" s="2" t="s">
        <v>203</v>
      </c>
      <c r="J511" s="2" t="s">
        <v>204</v>
      </c>
      <c r="K511" s="4">
        <v>46136.0</v>
      </c>
      <c r="L511" s="2" t="s">
        <v>2239</v>
      </c>
    </row>
    <row r="512">
      <c r="A512" s="2" t="s">
        <v>2240</v>
      </c>
      <c r="B512" s="2" t="s">
        <v>2241</v>
      </c>
      <c r="C512" s="2" t="s">
        <v>14</v>
      </c>
      <c r="D512" s="2" t="s">
        <v>15</v>
      </c>
      <c r="E512" s="2" t="s">
        <v>23</v>
      </c>
      <c r="F512" s="3">
        <f>+5491153310371</f>
        <v>5491153310371</v>
      </c>
      <c r="G512" s="2" t="s">
        <v>2242</v>
      </c>
      <c r="H512" s="2" t="s">
        <v>25</v>
      </c>
      <c r="I512" s="2" t="s">
        <v>1920</v>
      </c>
      <c r="J512" s="2" t="s">
        <v>1920</v>
      </c>
      <c r="K512" s="4">
        <v>46136.0</v>
      </c>
      <c r="L512" s="2" t="s">
        <v>2243</v>
      </c>
    </row>
    <row r="513">
      <c r="A513" s="2" t="s">
        <v>2244</v>
      </c>
      <c r="B513" s="2" t="s">
        <v>2245</v>
      </c>
      <c r="C513" s="2" t="s">
        <v>14</v>
      </c>
      <c r="D513" s="2" t="s">
        <v>15</v>
      </c>
      <c r="E513" s="2" t="s">
        <v>23</v>
      </c>
      <c r="F513" s="3">
        <f>+5492613073311</f>
        <v>5492613073311</v>
      </c>
      <c r="G513" s="2" t="s">
        <v>2246</v>
      </c>
      <c r="H513" s="2" t="s">
        <v>71</v>
      </c>
      <c r="I513" s="2" t="s">
        <v>902</v>
      </c>
      <c r="J513" s="2" t="s">
        <v>903</v>
      </c>
      <c r="K513" s="4">
        <v>46136.0</v>
      </c>
      <c r="L513" s="2" t="s">
        <v>2247</v>
      </c>
    </row>
    <row r="514">
      <c r="A514" s="2" t="s">
        <v>2248</v>
      </c>
      <c r="B514" s="2" t="s">
        <v>2249</v>
      </c>
      <c r="C514" s="2" t="s">
        <v>14</v>
      </c>
      <c r="D514" s="2" t="s">
        <v>15</v>
      </c>
      <c r="E514" s="2" t="s">
        <v>23</v>
      </c>
      <c r="F514" s="3">
        <f>+5491136005535</f>
        <v>5491136005535</v>
      </c>
      <c r="G514" s="2" t="s">
        <v>2250</v>
      </c>
      <c r="H514" s="2" t="s">
        <v>25</v>
      </c>
      <c r="I514" s="2" t="s">
        <v>78</v>
      </c>
      <c r="J514" s="2" t="s">
        <v>2251</v>
      </c>
      <c r="K514" s="4">
        <v>46136.0</v>
      </c>
      <c r="L514" s="2" t="s">
        <v>2252</v>
      </c>
    </row>
    <row r="515">
      <c r="A515" s="2" t="s">
        <v>2253</v>
      </c>
      <c r="B515" s="2" t="s">
        <v>2254</v>
      </c>
      <c r="C515" s="2" t="s">
        <v>14</v>
      </c>
      <c r="D515" s="2" t="s">
        <v>15</v>
      </c>
      <c r="E515" s="2" t="s">
        <v>23</v>
      </c>
      <c r="F515" s="3">
        <f>+5491153145582</f>
        <v>5491153145582</v>
      </c>
      <c r="G515" s="2" t="s">
        <v>2255</v>
      </c>
      <c r="H515" s="2" t="s">
        <v>25</v>
      </c>
      <c r="I515" s="2" t="s">
        <v>764</v>
      </c>
      <c r="J515" s="2" t="s">
        <v>764</v>
      </c>
      <c r="K515" s="4">
        <v>46136.0</v>
      </c>
      <c r="L515" s="2" t="s">
        <v>2256</v>
      </c>
    </row>
    <row r="516">
      <c r="A516" s="2" t="s">
        <v>2257</v>
      </c>
      <c r="B516" s="2" t="s">
        <v>2258</v>
      </c>
      <c r="C516" s="2" t="s">
        <v>14</v>
      </c>
      <c r="D516" s="2" t="s">
        <v>15</v>
      </c>
      <c r="E516" s="2" t="s">
        <v>23</v>
      </c>
      <c r="F516" s="3">
        <f>+5493517311282</f>
        <v>5493517311282</v>
      </c>
      <c r="G516" s="2" t="s">
        <v>2259</v>
      </c>
      <c r="H516" s="2" t="s">
        <v>18</v>
      </c>
      <c r="I516" s="2" t="s">
        <v>18</v>
      </c>
      <c r="J516" s="2" t="s">
        <v>2260</v>
      </c>
      <c r="K516" s="4">
        <v>46136.0</v>
      </c>
      <c r="L516" s="2" t="s">
        <v>2261</v>
      </c>
    </row>
    <row r="517">
      <c r="A517" s="2" t="s">
        <v>2262</v>
      </c>
      <c r="B517" s="2" t="s">
        <v>2263</v>
      </c>
      <c r="C517" s="2" t="s">
        <v>14</v>
      </c>
      <c r="D517" s="2" t="s">
        <v>15</v>
      </c>
      <c r="E517" s="2" t="s">
        <v>23</v>
      </c>
      <c r="F517" s="3">
        <f>+5492616666743</f>
        <v>5492616666743</v>
      </c>
      <c r="G517" s="2" t="s">
        <v>2264</v>
      </c>
      <c r="H517" s="2" t="s">
        <v>71</v>
      </c>
      <c r="I517" s="2" t="s">
        <v>72</v>
      </c>
      <c r="J517" s="2" t="s">
        <v>398</v>
      </c>
      <c r="K517" s="4">
        <v>46136.0</v>
      </c>
      <c r="L517" s="2" t="s">
        <v>2265</v>
      </c>
    </row>
    <row r="518">
      <c r="A518" s="2" t="s">
        <v>2266</v>
      </c>
      <c r="B518" s="2" t="s">
        <v>2267</v>
      </c>
      <c r="C518" s="2" t="s">
        <v>14</v>
      </c>
      <c r="D518" s="2" t="s">
        <v>15</v>
      </c>
      <c r="E518" s="2" t="s">
        <v>23</v>
      </c>
      <c r="F518" s="3">
        <f>+5491130651777</f>
        <v>5491130651777</v>
      </c>
      <c r="G518" s="2" t="s">
        <v>2268</v>
      </c>
      <c r="H518" s="2" t="s">
        <v>25</v>
      </c>
      <c r="I518" s="2" t="s">
        <v>160</v>
      </c>
      <c r="J518" s="2" t="s">
        <v>160</v>
      </c>
      <c r="K518" s="4">
        <v>46136.0</v>
      </c>
      <c r="L518" s="2" t="s">
        <v>2269</v>
      </c>
    </row>
    <row r="519">
      <c r="A519" s="2" t="s">
        <v>2270</v>
      </c>
      <c r="B519" s="2" t="s">
        <v>2271</v>
      </c>
      <c r="C519" s="2" t="s">
        <v>14</v>
      </c>
      <c r="D519" s="2" t="s">
        <v>15</v>
      </c>
      <c r="E519" s="2" t="s">
        <v>23</v>
      </c>
      <c r="F519" s="3">
        <f>+543874767454</f>
        <v>543874767454</v>
      </c>
      <c r="G519" s="2" t="s">
        <v>2272</v>
      </c>
      <c r="H519" s="2" t="s">
        <v>725</v>
      </c>
      <c r="I519" s="2" t="s">
        <v>725</v>
      </c>
      <c r="J519" s="2" t="s">
        <v>739</v>
      </c>
      <c r="K519" s="4">
        <v>46136.0</v>
      </c>
      <c r="L519" s="2" t="s">
        <v>2273</v>
      </c>
    </row>
    <row r="520">
      <c r="A520" s="2" t="s">
        <v>2274</v>
      </c>
      <c r="B520" s="2" t="s">
        <v>2275</v>
      </c>
      <c r="C520" s="2" t="s">
        <v>14</v>
      </c>
      <c r="D520" s="2" t="s">
        <v>15</v>
      </c>
      <c r="E520" s="2" t="s">
        <v>23</v>
      </c>
      <c r="F520" s="3">
        <f>+5491161990213</f>
        <v>5491161990213</v>
      </c>
      <c r="G520" s="2" t="s">
        <v>2276</v>
      </c>
      <c r="H520" s="2" t="s">
        <v>25</v>
      </c>
      <c r="I520" s="2" t="s">
        <v>1349</v>
      </c>
      <c r="J520" s="2" t="s">
        <v>1906</v>
      </c>
      <c r="K520" s="4">
        <v>46136.0</v>
      </c>
      <c r="L520" s="2" t="s">
        <v>2277</v>
      </c>
    </row>
    <row r="521">
      <c r="A521" s="2" t="s">
        <v>2278</v>
      </c>
      <c r="B521" s="2" t="s">
        <v>2279</v>
      </c>
      <c r="C521" s="2" t="s">
        <v>14</v>
      </c>
      <c r="D521" s="2" t="s">
        <v>15</v>
      </c>
      <c r="E521" s="2" t="s">
        <v>23</v>
      </c>
      <c r="F521" s="3">
        <f>+5493512404116</f>
        <v>5493512404116</v>
      </c>
      <c r="G521" s="2" t="s">
        <v>2280</v>
      </c>
      <c r="H521" s="2" t="s">
        <v>18</v>
      </c>
      <c r="I521" s="2" t="s">
        <v>18</v>
      </c>
      <c r="J521" s="2" t="s">
        <v>2281</v>
      </c>
      <c r="K521" s="4">
        <v>46136.0</v>
      </c>
      <c r="L521" s="2" t="s">
        <v>2282</v>
      </c>
    </row>
    <row r="522">
      <c r="A522" s="2" t="s">
        <v>2283</v>
      </c>
      <c r="B522" s="2" t="s">
        <v>2284</v>
      </c>
      <c r="C522" s="2" t="s">
        <v>14</v>
      </c>
      <c r="D522" s="2" t="s">
        <v>15</v>
      </c>
      <c r="E522" s="2" t="s">
        <v>23</v>
      </c>
      <c r="F522" s="3">
        <f>+5491165578641</f>
        <v>5491165578641</v>
      </c>
      <c r="G522" s="2" t="s">
        <v>2285</v>
      </c>
      <c r="H522" s="2" t="s">
        <v>32</v>
      </c>
      <c r="I522" s="2" t="s">
        <v>25</v>
      </c>
      <c r="J522" s="2" t="s">
        <v>2044</v>
      </c>
      <c r="K522" s="4">
        <v>46136.0</v>
      </c>
      <c r="L522" s="2" t="s">
        <v>2286</v>
      </c>
    </row>
    <row r="523">
      <c r="A523" s="2" t="s">
        <v>2287</v>
      </c>
      <c r="B523" s="2" t="s">
        <v>2288</v>
      </c>
      <c r="C523" s="2" t="s">
        <v>14</v>
      </c>
      <c r="D523" s="2" t="s">
        <v>15</v>
      </c>
      <c r="E523" s="2" t="s">
        <v>23</v>
      </c>
      <c r="F523" s="3">
        <f>+5491123595938</f>
        <v>5491123595938</v>
      </c>
      <c r="G523" s="2" t="s">
        <v>2289</v>
      </c>
      <c r="H523" s="2" t="s">
        <v>25</v>
      </c>
      <c r="I523" s="2" t="s">
        <v>84</v>
      </c>
      <c r="J523" s="2" t="s">
        <v>85</v>
      </c>
      <c r="K523" s="4">
        <v>46136.0</v>
      </c>
      <c r="L523" s="2" t="s">
        <v>2290</v>
      </c>
    </row>
    <row r="524">
      <c r="A524" s="2" t="s">
        <v>2291</v>
      </c>
      <c r="B524" s="2" t="s">
        <v>2292</v>
      </c>
      <c r="C524" s="2" t="s">
        <v>14</v>
      </c>
      <c r="D524" s="2" t="s">
        <v>15</v>
      </c>
      <c r="E524" s="2" t="s">
        <v>23</v>
      </c>
      <c r="F524" s="3">
        <f>+5491147243497</f>
        <v>5491147243497</v>
      </c>
      <c r="G524" s="2" t="s">
        <v>2293</v>
      </c>
      <c r="H524" s="2" t="s">
        <v>25</v>
      </c>
      <c r="I524" s="2" t="s">
        <v>118</v>
      </c>
      <c r="J524" s="2" t="s">
        <v>640</v>
      </c>
      <c r="K524" s="4">
        <v>46136.0</v>
      </c>
      <c r="L524" s="2" t="s">
        <v>2294</v>
      </c>
    </row>
    <row r="525">
      <c r="A525" s="2" t="s">
        <v>2295</v>
      </c>
      <c r="B525" s="2" t="s">
        <v>2296</v>
      </c>
      <c r="C525" s="2" t="s">
        <v>14</v>
      </c>
      <c r="D525" s="2" t="s">
        <v>15</v>
      </c>
      <c r="E525" s="2" t="s">
        <v>23</v>
      </c>
      <c r="F525" s="3">
        <f>+5491164004909</f>
        <v>5491164004909</v>
      </c>
      <c r="G525" s="2" t="s">
        <v>2297</v>
      </c>
      <c r="H525" s="2" t="s">
        <v>25</v>
      </c>
      <c r="I525" s="2" t="s">
        <v>764</v>
      </c>
      <c r="J525" s="2" t="s">
        <v>764</v>
      </c>
      <c r="K525" s="4">
        <v>46136.0</v>
      </c>
      <c r="L525" s="2" t="s">
        <v>2298</v>
      </c>
    </row>
    <row r="526">
      <c r="A526" s="2" t="s">
        <v>2299</v>
      </c>
      <c r="B526" s="2" t="s">
        <v>2300</v>
      </c>
      <c r="C526" s="2" t="s">
        <v>14</v>
      </c>
      <c r="D526" s="2" t="s">
        <v>15</v>
      </c>
      <c r="E526" s="2" t="s">
        <v>23</v>
      </c>
      <c r="F526" s="3">
        <f>+5493518916144</f>
        <v>5493518916144</v>
      </c>
      <c r="G526" s="2" t="s">
        <v>2301</v>
      </c>
      <c r="H526" s="2" t="s">
        <v>18</v>
      </c>
      <c r="I526" s="2" t="s">
        <v>18</v>
      </c>
      <c r="J526" s="2" t="s">
        <v>2302</v>
      </c>
      <c r="K526" s="4">
        <v>46136.0</v>
      </c>
      <c r="L526" s="2" t="s">
        <v>2303</v>
      </c>
    </row>
    <row r="527">
      <c r="A527" s="2" t="s">
        <v>2304</v>
      </c>
      <c r="B527" s="2" t="s">
        <v>2305</v>
      </c>
      <c r="C527" s="2" t="s">
        <v>14</v>
      </c>
      <c r="D527" s="2" t="s">
        <v>15</v>
      </c>
      <c r="E527" s="2" t="s">
        <v>23</v>
      </c>
      <c r="F527" s="3">
        <f>+5491166259970</f>
        <v>5491166259970</v>
      </c>
      <c r="G527" s="2" t="s">
        <v>2306</v>
      </c>
      <c r="H527" s="2" t="s">
        <v>25</v>
      </c>
      <c r="I527" s="2" t="s">
        <v>550</v>
      </c>
      <c r="J527" s="2" t="s">
        <v>550</v>
      </c>
      <c r="K527" s="4">
        <v>46136.0</v>
      </c>
      <c r="L527" s="2" t="s">
        <v>2307</v>
      </c>
    </row>
    <row r="528">
      <c r="A528" s="2" t="s">
        <v>2308</v>
      </c>
      <c r="B528" s="2" t="s">
        <v>2309</v>
      </c>
      <c r="C528" s="2" t="s">
        <v>14</v>
      </c>
      <c r="D528" s="2" t="s">
        <v>15</v>
      </c>
      <c r="E528" s="2" t="s">
        <v>16</v>
      </c>
      <c r="F528" s="3">
        <f>+5491136648698</f>
        <v>5491136648698</v>
      </c>
      <c r="G528" s="2" t="s">
        <v>2310</v>
      </c>
      <c r="H528" s="2" t="s">
        <v>25</v>
      </c>
      <c r="I528" s="2" t="s">
        <v>236</v>
      </c>
      <c r="J528" s="2" t="s">
        <v>2311</v>
      </c>
      <c r="K528" s="4">
        <v>46136.0</v>
      </c>
      <c r="L528" s="2" t="s">
        <v>2312</v>
      </c>
    </row>
    <row r="529">
      <c r="A529" s="2" t="s">
        <v>2313</v>
      </c>
      <c r="B529" s="2" t="s">
        <v>2314</v>
      </c>
      <c r="C529" s="2" t="s">
        <v>185</v>
      </c>
      <c r="D529" s="2" t="s">
        <v>15</v>
      </c>
      <c r="E529" s="2" t="s">
        <v>23</v>
      </c>
      <c r="F529" s="3">
        <f>+541121655406</f>
        <v>541121655406</v>
      </c>
      <c r="G529" s="2" t="s">
        <v>2315</v>
      </c>
      <c r="H529" s="2" t="s">
        <v>25</v>
      </c>
      <c r="I529" s="2" t="s">
        <v>1349</v>
      </c>
      <c r="J529" s="2" t="s">
        <v>1349</v>
      </c>
      <c r="K529" s="4">
        <v>46136.0</v>
      </c>
      <c r="L529" s="2" t="s">
        <v>2316</v>
      </c>
    </row>
    <row r="530">
      <c r="A530" s="2" t="s">
        <v>2317</v>
      </c>
      <c r="B530" s="2" t="s">
        <v>2318</v>
      </c>
      <c r="C530" s="2" t="s">
        <v>14</v>
      </c>
      <c r="D530" s="2" t="s">
        <v>15</v>
      </c>
      <c r="E530" s="2" t="s">
        <v>16</v>
      </c>
      <c r="F530" s="3">
        <f>+5493814474342</f>
        <v>5493814474342</v>
      </c>
      <c r="G530" s="2" t="s">
        <v>2319</v>
      </c>
      <c r="H530" s="2" t="s">
        <v>55</v>
      </c>
      <c r="I530" s="2" t="s">
        <v>883</v>
      </c>
      <c r="J530" s="2" t="s">
        <v>611</v>
      </c>
      <c r="K530" s="4">
        <v>46136.0</v>
      </c>
      <c r="L530" s="2" t="s">
        <v>2320</v>
      </c>
    </row>
    <row r="531">
      <c r="A531" s="2" t="s">
        <v>2321</v>
      </c>
      <c r="B531" s="2" t="s">
        <v>2322</v>
      </c>
      <c r="C531" s="2" t="s">
        <v>14</v>
      </c>
      <c r="D531" s="2" t="s">
        <v>15</v>
      </c>
      <c r="E531" s="2" t="s">
        <v>23</v>
      </c>
      <c r="F531" s="3">
        <f>+5491173630054</f>
        <v>5491173630054</v>
      </c>
      <c r="G531" s="2" t="s">
        <v>2323</v>
      </c>
      <c r="H531" s="2" t="s">
        <v>25</v>
      </c>
      <c r="I531" s="2" t="s">
        <v>97</v>
      </c>
      <c r="J531" s="2" t="s">
        <v>97</v>
      </c>
      <c r="K531" s="4">
        <v>46136.0</v>
      </c>
      <c r="L531" s="2" t="s">
        <v>2324</v>
      </c>
    </row>
    <row r="532">
      <c r="A532" s="2" t="s">
        <v>2325</v>
      </c>
      <c r="B532" s="2" t="s">
        <v>2326</v>
      </c>
      <c r="C532" s="2" t="s">
        <v>14</v>
      </c>
      <c r="D532" s="2" t="s">
        <v>15</v>
      </c>
      <c r="E532" s="2" t="s">
        <v>23</v>
      </c>
      <c r="F532" s="3">
        <f>+543541549558</f>
        <v>543541549558</v>
      </c>
      <c r="G532" s="2" t="s">
        <v>2327</v>
      </c>
      <c r="H532" s="2" t="s">
        <v>18</v>
      </c>
      <c r="I532" s="2" t="s">
        <v>535</v>
      </c>
      <c r="J532" s="2" t="s">
        <v>635</v>
      </c>
      <c r="K532" s="4">
        <v>46136.0</v>
      </c>
      <c r="L532" s="2" t="s">
        <v>2328</v>
      </c>
    </row>
    <row r="533">
      <c r="A533" s="2" t="s">
        <v>2329</v>
      </c>
      <c r="B533" s="2" t="s">
        <v>2330</v>
      </c>
      <c r="C533" s="2" t="s">
        <v>185</v>
      </c>
      <c r="D533" s="2" t="s">
        <v>15</v>
      </c>
      <c r="E533" s="2" t="s">
        <v>23</v>
      </c>
      <c r="F533" s="3">
        <f>+541142083818</f>
        <v>541142083818</v>
      </c>
      <c r="G533" s="2" t="s">
        <v>2331</v>
      </c>
      <c r="H533" s="2" t="s">
        <v>25</v>
      </c>
      <c r="I533" s="2" t="s">
        <v>357</v>
      </c>
      <c r="J533" s="2" t="s">
        <v>357</v>
      </c>
      <c r="K533" s="4">
        <v>46136.0</v>
      </c>
      <c r="L533" s="2" t="s">
        <v>2332</v>
      </c>
    </row>
    <row r="534">
      <c r="A534" s="2" t="s">
        <v>2333</v>
      </c>
      <c r="B534" s="2" t="s">
        <v>2334</v>
      </c>
      <c r="C534" s="2" t="s">
        <v>14</v>
      </c>
      <c r="D534" s="2" t="s">
        <v>15</v>
      </c>
      <c r="E534" s="2" t="s">
        <v>23</v>
      </c>
      <c r="F534" s="3">
        <f>+5491150261924</f>
        <v>5491150261924</v>
      </c>
      <c r="G534" s="2" t="s">
        <v>2335</v>
      </c>
      <c r="H534" s="2" t="s">
        <v>25</v>
      </c>
      <c r="I534" s="2" t="s">
        <v>309</v>
      </c>
      <c r="J534" s="2" t="s">
        <v>309</v>
      </c>
      <c r="K534" s="4">
        <v>46136.0</v>
      </c>
      <c r="L534" s="2" t="s">
        <v>2336</v>
      </c>
    </row>
    <row r="535">
      <c r="A535" s="2" t="s">
        <v>2337</v>
      </c>
      <c r="B535" s="2" t="s">
        <v>2338</v>
      </c>
      <c r="C535" s="2" t="s">
        <v>14</v>
      </c>
      <c r="D535" s="2" t="s">
        <v>15</v>
      </c>
      <c r="E535" s="2" t="s">
        <v>23</v>
      </c>
      <c r="F535" s="3">
        <f>+5492944614486</f>
        <v>5492944614486</v>
      </c>
      <c r="G535" s="2" t="s">
        <v>2339</v>
      </c>
      <c r="H535" s="2" t="s">
        <v>25</v>
      </c>
      <c r="I535" s="2" t="s">
        <v>44</v>
      </c>
      <c r="J535" s="2" t="s">
        <v>44</v>
      </c>
      <c r="K535" s="4">
        <v>46136.0</v>
      </c>
      <c r="L535" s="2" t="s">
        <v>2340</v>
      </c>
    </row>
    <row r="536">
      <c r="A536" s="2" t="s">
        <v>2341</v>
      </c>
      <c r="B536" s="2" t="s">
        <v>2342</v>
      </c>
      <c r="C536" s="2" t="s">
        <v>14</v>
      </c>
      <c r="D536" s="2" t="s">
        <v>15</v>
      </c>
      <c r="E536" s="2" t="s">
        <v>16</v>
      </c>
      <c r="F536" s="3">
        <f>+5491149702517</f>
        <v>5491149702517</v>
      </c>
      <c r="G536" s="2" t="s">
        <v>2343</v>
      </c>
      <c r="H536" s="2" t="s">
        <v>32</v>
      </c>
      <c r="I536" s="2" t="s">
        <v>25</v>
      </c>
      <c r="J536" s="2" t="s">
        <v>594</v>
      </c>
      <c r="K536" s="4">
        <v>46136.0</v>
      </c>
      <c r="L536" s="2" t="s">
        <v>2344</v>
      </c>
    </row>
    <row r="537">
      <c r="A537" s="2" t="s">
        <v>2345</v>
      </c>
      <c r="B537" s="2" t="s">
        <v>2346</v>
      </c>
      <c r="C537" s="2" t="s">
        <v>14</v>
      </c>
      <c r="D537" s="2" t="s">
        <v>15</v>
      </c>
      <c r="E537" s="2" t="s">
        <v>16</v>
      </c>
      <c r="F537" s="3">
        <f>+5491161528146</f>
        <v>5491161528146</v>
      </c>
      <c r="G537" s="2" t="s">
        <v>2347</v>
      </c>
      <c r="H537" s="2" t="s">
        <v>32</v>
      </c>
      <c r="I537" s="2" t="s">
        <v>25</v>
      </c>
      <c r="J537" s="2" t="s">
        <v>874</v>
      </c>
      <c r="K537" s="4">
        <v>46136.0</v>
      </c>
      <c r="L537" s="2" t="s">
        <v>2348</v>
      </c>
    </row>
    <row r="538">
      <c r="A538" s="2" t="s">
        <v>2349</v>
      </c>
      <c r="B538" s="2" t="s">
        <v>2350</v>
      </c>
      <c r="C538" s="2" t="s">
        <v>14</v>
      </c>
      <c r="D538" s="2" t="s">
        <v>15</v>
      </c>
      <c r="E538" s="2" t="s">
        <v>23</v>
      </c>
      <c r="F538" s="3">
        <f>+5492236882818</f>
        <v>5492236882818</v>
      </c>
      <c r="G538" s="2" t="s">
        <v>2351</v>
      </c>
      <c r="H538" s="2" t="s">
        <v>25</v>
      </c>
      <c r="I538" s="2" t="s">
        <v>649</v>
      </c>
      <c r="J538" s="2" t="s">
        <v>659</v>
      </c>
      <c r="K538" s="4">
        <v>46136.0</v>
      </c>
      <c r="L538" s="2" t="s">
        <v>2352</v>
      </c>
    </row>
    <row r="539">
      <c r="A539" s="2" t="s">
        <v>2353</v>
      </c>
      <c r="B539" s="2" t="s">
        <v>2354</v>
      </c>
      <c r="C539" s="2" t="s">
        <v>14</v>
      </c>
      <c r="D539" s="2" t="s">
        <v>15</v>
      </c>
      <c r="E539" s="2" t="s">
        <v>23</v>
      </c>
      <c r="F539" s="3">
        <f>+5492914291443</f>
        <v>5492914291443</v>
      </c>
      <c r="G539" s="2" t="s">
        <v>2355</v>
      </c>
      <c r="H539" s="2" t="s">
        <v>25</v>
      </c>
      <c r="I539" s="2" t="s">
        <v>841</v>
      </c>
      <c r="J539" s="2" t="s">
        <v>219</v>
      </c>
      <c r="K539" s="4">
        <v>46136.0</v>
      </c>
      <c r="L539" s="2" t="s">
        <v>2356</v>
      </c>
    </row>
    <row r="540">
      <c r="A540" s="2" t="s">
        <v>2357</v>
      </c>
      <c r="B540" s="2" t="s">
        <v>2358</v>
      </c>
      <c r="C540" s="2" t="s">
        <v>14</v>
      </c>
      <c r="D540" s="2" t="s">
        <v>15</v>
      </c>
      <c r="E540" s="2" t="s">
        <v>23</v>
      </c>
      <c r="F540" s="3">
        <f>+5491157526866</f>
        <v>5491157526866</v>
      </c>
      <c r="G540" s="2" t="s">
        <v>2359</v>
      </c>
      <c r="H540" s="2" t="s">
        <v>25</v>
      </c>
      <c r="I540" s="2" t="s">
        <v>550</v>
      </c>
      <c r="J540" s="2" t="s">
        <v>1113</v>
      </c>
      <c r="K540" s="4">
        <v>46136.0</v>
      </c>
      <c r="L540" s="2" t="s">
        <v>2360</v>
      </c>
    </row>
    <row r="541">
      <c r="A541" s="2" t="s">
        <v>2361</v>
      </c>
      <c r="B541" s="2" t="s">
        <v>2362</v>
      </c>
      <c r="C541" s="2" t="s">
        <v>14</v>
      </c>
      <c r="D541" s="2" t="s">
        <v>15</v>
      </c>
      <c r="E541" s="2" t="s">
        <v>16</v>
      </c>
      <c r="F541" s="3">
        <f>+5491132123968</f>
        <v>5491132123968</v>
      </c>
      <c r="G541" s="2" t="s">
        <v>2363</v>
      </c>
      <c r="H541" s="2" t="s">
        <v>32</v>
      </c>
      <c r="I541" s="2" t="s">
        <v>25</v>
      </c>
      <c r="J541" s="2" t="s">
        <v>2364</v>
      </c>
      <c r="K541" s="4">
        <v>46136.0</v>
      </c>
      <c r="L541" s="2" t="s">
        <v>2365</v>
      </c>
    </row>
    <row r="542">
      <c r="A542" s="2" t="s">
        <v>2366</v>
      </c>
      <c r="B542" s="2" t="s">
        <v>2367</v>
      </c>
      <c r="C542" s="2" t="s">
        <v>14</v>
      </c>
      <c r="D542" s="2" t="s">
        <v>15</v>
      </c>
      <c r="E542" s="2" t="s">
        <v>23</v>
      </c>
      <c r="F542" s="3">
        <f>+5491123470597</f>
        <v>5491123470597</v>
      </c>
      <c r="G542" s="2" t="s">
        <v>2368</v>
      </c>
      <c r="H542" s="2" t="s">
        <v>25</v>
      </c>
      <c r="I542" s="2" t="s">
        <v>84</v>
      </c>
      <c r="J542" s="2" t="s">
        <v>2369</v>
      </c>
      <c r="K542" s="4">
        <v>46136.0</v>
      </c>
      <c r="L542" s="2" t="s">
        <v>2370</v>
      </c>
    </row>
    <row r="543">
      <c r="A543" s="2" t="s">
        <v>2371</v>
      </c>
      <c r="B543" s="2" t="s">
        <v>2372</v>
      </c>
      <c r="C543" s="2" t="s">
        <v>14</v>
      </c>
      <c r="D543" s="2" t="s">
        <v>15</v>
      </c>
      <c r="E543" s="2" t="s">
        <v>16</v>
      </c>
      <c r="F543" s="3">
        <f>+5491132613428</f>
        <v>5491132613428</v>
      </c>
      <c r="G543" s="2" t="s">
        <v>2373</v>
      </c>
      <c r="H543" s="2" t="s">
        <v>25</v>
      </c>
      <c r="I543" s="2" t="s">
        <v>49</v>
      </c>
      <c r="J543" s="2" t="s">
        <v>1631</v>
      </c>
      <c r="K543" s="4">
        <v>46136.0</v>
      </c>
      <c r="L543" s="2" t="s">
        <v>2374</v>
      </c>
    </row>
    <row r="544">
      <c r="A544" s="2" t="s">
        <v>2375</v>
      </c>
      <c r="B544" s="2" t="s">
        <v>2376</v>
      </c>
      <c r="C544" s="2" t="s">
        <v>14</v>
      </c>
      <c r="D544" s="2" t="s">
        <v>15</v>
      </c>
      <c r="E544" s="2" t="s">
        <v>23</v>
      </c>
      <c r="F544" s="3">
        <f>+5493872284424</f>
        <v>5493872284424</v>
      </c>
      <c r="G544" s="2" t="s">
        <v>2377</v>
      </c>
      <c r="H544" s="2" t="s">
        <v>725</v>
      </c>
      <c r="I544" s="2" t="s">
        <v>725</v>
      </c>
      <c r="J544" s="2" t="s">
        <v>2378</v>
      </c>
      <c r="K544" s="4">
        <v>46136.0</v>
      </c>
      <c r="L544" s="2" t="s">
        <v>2379</v>
      </c>
    </row>
    <row r="545">
      <c r="A545" s="2" t="s">
        <v>2380</v>
      </c>
      <c r="B545" s="2" t="s">
        <v>2381</v>
      </c>
      <c r="C545" s="2" t="s">
        <v>14</v>
      </c>
      <c r="D545" s="2" t="s">
        <v>15</v>
      </c>
      <c r="E545" s="2" t="s">
        <v>23</v>
      </c>
      <c r="F545" s="3">
        <f>+5491164674482</f>
        <v>5491164674482</v>
      </c>
      <c r="G545" s="2" t="s">
        <v>2382</v>
      </c>
      <c r="H545" s="2" t="s">
        <v>32</v>
      </c>
      <c r="I545" s="2" t="s">
        <v>25</v>
      </c>
      <c r="J545" s="2" t="s">
        <v>559</v>
      </c>
      <c r="K545" s="4">
        <v>46136.0</v>
      </c>
      <c r="L545" s="2" t="s">
        <v>2383</v>
      </c>
    </row>
    <row r="546">
      <c r="A546" s="2" t="s">
        <v>2384</v>
      </c>
      <c r="B546" s="2" t="s">
        <v>2385</v>
      </c>
      <c r="C546" s="2" t="s">
        <v>14</v>
      </c>
      <c r="D546" s="2" t="s">
        <v>15</v>
      </c>
      <c r="E546" s="2" t="s">
        <v>23</v>
      </c>
      <c r="F546" s="3">
        <f>+5492616250737</f>
        <v>5492616250737</v>
      </c>
      <c r="G546" s="2" t="s">
        <v>2386</v>
      </c>
      <c r="H546" s="2" t="s">
        <v>71</v>
      </c>
      <c r="I546" s="2" t="s">
        <v>1625</v>
      </c>
      <c r="J546" s="2" t="s">
        <v>2160</v>
      </c>
      <c r="K546" s="4">
        <v>46136.0</v>
      </c>
      <c r="L546" s="2" t="s">
        <v>2387</v>
      </c>
    </row>
    <row r="547">
      <c r="A547" s="2" t="s">
        <v>2388</v>
      </c>
      <c r="B547" s="2" t="s">
        <v>2389</v>
      </c>
      <c r="C547" s="2" t="s">
        <v>14</v>
      </c>
      <c r="D547" s="2" t="s">
        <v>15</v>
      </c>
      <c r="E547" s="2" t="s">
        <v>23</v>
      </c>
      <c r="F547" s="3">
        <f>+5491132270325</f>
        <v>5491132270325</v>
      </c>
      <c r="G547" s="2" t="s">
        <v>2390</v>
      </c>
      <c r="H547" s="2" t="s">
        <v>25</v>
      </c>
      <c r="I547" s="2" t="s">
        <v>481</v>
      </c>
      <c r="J547" s="2" t="s">
        <v>481</v>
      </c>
      <c r="K547" s="4">
        <v>46136.0</v>
      </c>
      <c r="L547" s="2" t="s">
        <v>2391</v>
      </c>
    </row>
    <row r="548">
      <c r="A548" s="2" t="s">
        <v>2392</v>
      </c>
      <c r="B548" s="2" t="s">
        <v>2393</v>
      </c>
      <c r="C548" s="2" t="s">
        <v>14</v>
      </c>
      <c r="D548" s="2" t="s">
        <v>15</v>
      </c>
      <c r="E548" s="2" t="s">
        <v>23</v>
      </c>
      <c r="F548" s="3">
        <f>+5492914681997</f>
        <v>5492914681997</v>
      </c>
      <c r="G548" s="2" t="s">
        <v>2394</v>
      </c>
      <c r="H548" s="2" t="s">
        <v>25</v>
      </c>
      <c r="I548" s="2" t="s">
        <v>841</v>
      </c>
      <c r="J548" s="2" t="s">
        <v>2395</v>
      </c>
      <c r="K548" s="4">
        <v>46136.0</v>
      </c>
      <c r="L548" s="2" t="s">
        <v>2396</v>
      </c>
    </row>
    <row r="549">
      <c r="A549" s="2" t="s">
        <v>2397</v>
      </c>
      <c r="B549" s="2" t="s">
        <v>2398</v>
      </c>
      <c r="C549" s="2" t="s">
        <v>14</v>
      </c>
      <c r="D549" s="2" t="s">
        <v>15</v>
      </c>
      <c r="E549" s="2" t="s">
        <v>23</v>
      </c>
      <c r="F549" s="3">
        <f>+5493815307209</f>
        <v>5493815307209</v>
      </c>
      <c r="G549" s="2" t="s">
        <v>2399</v>
      </c>
      <c r="H549" s="2" t="s">
        <v>55</v>
      </c>
      <c r="I549" s="2" t="s">
        <v>883</v>
      </c>
      <c r="J549" s="2" t="s">
        <v>2400</v>
      </c>
      <c r="K549" s="4">
        <v>46136.0</v>
      </c>
      <c r="L549" s="2" t="s">
        <v>2401</v>
      </c>
    </row>
    <row r="550">
      <c r="A550" s="2" t="s">
        <v>2402</v>
      </c>
      <c r="B550" s="2" t="s">
        <v>2403</v>
      </c>
      <c r="C550" s="2" t="s">
        <v>14</v>
      </c>
      <c r="D550" s="2" t="s">
        <v>15</v>
      </c>
      <c r="E550" s="2" t="s">
        <v>23</v>
      </c>
      <c r="F550" s="3">
        <f>+5491121934346</f>
        <v>5491121934346</v>
      </c>
      <c r="G550" s="2" t="s">
        <v>2404</v>
      </c>
      <c r="H550" s="2" t="s">
        <v>25</v>
      </c>
      <c r="I550" s="2" t="s">
        <v>246</v>
      </c>
      <c r="J550" s="2" t="s">
        <v>1136</v>
      </c>
      <c r="K550" s="4">
        <v>46136.0</v>
      </c>
      <c r="L550" s="2" t="s">
        <v>2405</v>
      </c>
    </row>
    <row r="551">
      <c r="A551" s="2" t="s">
        <v>2406</v>
      </c>
      <c r="B551" s="2" t="s">
        <v>2407</v>
      </c>
      <c r="C551" s="2" t="s">
        <v>14</v>
      </c>
      <c r="D551" s="2" t="s">
        <v>15</v>
      </c>
      <c r="E551" s="2" t="s">
        <v>23</v>
      </c>
      <c r="F551" s="3">
        <f>+5491151379116</f>
        <v>5491151379116</v>
      </c>
      <c r="G551" s="2" t="s">
        <v>2408</v>
      </c>
      <c r="H551" s="2" t="s">
        <v>25</v>
      </c>
      <c r="I551" s="2" t="s">
        <v>481</v>
      </c>
      <c r="J551" s="2" t="s">
        <v>481</v>
      </c>
      <c r="K551" s="4">
        <v>46136.0</v>
      </c>
      <c r="L551" s="2" t="s">
        <v>2409</v>
      </c>
    </row>
    <row r="552">
      <c r="A552" s="2" t="s">
        <v>2410</v>
      </c>
      <c r="B552" s="2" t="s">
        <v>2411</v>
      </c>
      <c r="C552" s="2" t="s">
        <v>14</v>
      </c>
      <c r="D552" s="2" t="s">
        <v>15</v>
      </c>
      <c r="E552" s="2" t="s">
        <v>23</v>
      </c>
      <c r="F552" s="3">
        <f>+5492215053464</f>
        <v>5492215053464</v>
      </c>
      <c r="G552" s="2" t="s">
        <v>2412</v>
      </c>
      <c r="H552" s="2" t="s">
        <v>25</v>
      </c>
      <c r="I552" s="2" t="s">
        <v>44</v>
      </c>
      <c r="J552" s="2" t="s">
        <v>44</v>
      </c>
      <c r="K552" s="4">
        <v>46136.0</v>
      </c>
      <c r="L552" s="2" t="s">
        <v>2413</v>
      </c>
    </row>
    <row r="553">
      <c r="A553" s="2" t="s">
        <v>2414</v>
      </c>
      <c r="B553" s="2" t="s">
        <v>2415</v>
      </c>
      <c r="C553" s="2" t="s">
        <v>14</v>
      </c>
      <c r="D553" s="2" t="s">
        <v>15</v>
      </c>
      <c r="E553" s="2" t="s">
        <v>23</v>
      </c>
      <c r="F553" s="3">
        <f>+5491123745641</f>
        <v>5491123745641</v>
      </c>
      <c r="G553" s="2" t="s">
        <v>2416</v>
      </c>
      <c r="H553" s="2" t="s">
        <v>32</v>
      </c>
      <c r="I553" s="2" t="s">
        <v>25</v>
      </c>
      <c r="J553" s="2" t="s">
        <v>320</v>
      </c>
      <c r="K553" s="4">
        <v>46136.0</v>
      </c>
      <c r="L553" s="2" t="s">
        <v>2417</v>
      </c>
    </row>
    <row r="554">
      <c r="A554" s="2" t="s">
        <v>2418</v>
      </c>
      <c r="B554" s="2" t="s">
        <v>2419</v>
      </c>
      <c r="C554" s="2" t="s">
        <v>14</v>
      </c>
      <c r="D554" s="2" t="s">
        <v>15</v>
      </c>
      <c r="E554" s="2" t="s">
        <v>23</v>
      </c>
      <c r="F554" s="3">
        <f>+5492216048368</f>
        <v>5492216048368</v>
      </c>
      <c r="G554" s="2" t="s">
        <v>2420</v>
      </c>
      <c r="H554" s="2" t="s">
        <v>25</v>
      </c>
      <c r="I554" s="2" t="s">
        <v>44</v>
      </c>
      <c r="J554" s="2" t="s">
        <v>44</v>
      </c>
      <c r="K554" s="4">
        <v>46135.0</v>
      </c>
      <c r="L554" s="2" t="s">
        <v>2421</v>
      </c>
    </row>
    <row r="555">
      <c r="A555" s="2" t="s">
        <v>2422</v>
      </c>
      <c r="B555" s="2" t="s">
        <v>2423</v>
      </c>
      <c r="C555" s="2" t="s">
        <v>14</v>
      </c>
      <c r="D555" s="2" t="s">
        <v>15</v>
      </c>
      <c r="E555" s="2" t="s">
        <v>23</v>
      </c>
      <c r="F555" s="3">
        <f>+5493878572858</f>
        <v>5493878572858</v>
      </c>
      <c r="G555" s="2" t="s">
        <v>2424</v>
      </c>
      <c r="H555" s="2" t="s">
        <v>725</v>
      </c>
      <c r="I555" s="2" t="s">
        <v>725</v>
      </c>
      <c r="J555" s="2" t="s">
        <v>1953</v>
      </c>
      <c r="K555" s="4">
        <v>46135.0</v>
      </c>
      <c r="L555" s="2" t="s">
        <v>2425</v>
      </c>
    </row>
    <row r="556">
      <c r="A556" s="2" t="s">
        <v>2426</v>
      </c>
      <c r="B556" s="2" t="s">
        <v>2427</v>
      </c>
      <c r="C556" s="2" t="s">
        <v>14</v>
      </c>
      <c r="D556" s="2" t="s">
        <v>15</v>
      </c>
      <c r="E556" s="2" t="s">
        <v>23</v>
      </c>
      <c r="F556" s="3">
        <f>+5491132841289</f>
        <v>5491132841289</v>
      </c>
      <c r="G556" s="2" t="s">
        <v>2428</v>
      </c>
      <c r="H556" s="2" t="s">
        <v>25</v>
      </c>
      <c r="I556" s="2" t="s">
        <v>203</v>
      </c>
      <c r="J556" s="2" t="s">
        <v>246</v>
      </c>
      <c r="K556" s="4">
        <v>46135.0</v>
      </c>
      <c r="L556" s="2" t="s">
        <v>2429</v>
      </c>
    </row>
    <row r="557">
      <c r="A557" s="2" t="s">
        <v>2430</v>
      </c>
      <c r="B557" s="2" t="s">
        <v>2431</v>
      </c>
      <c r="C557" s="2" t="s">
        <v>14</v>
      </c>
      <c r="D557" s="2" t="s">
        <v>15</v>
      </c>
      <c r="E557" s="2" t="s">
        <v>23</v>
      </c>
      <c r="F557" s="3">
        <f>+5491150449087</f>
        <v>5491150449087</v>
      </c>
      <c r="G557" s="2" t="s">
        <v>2432</v>
      </c>
      <c r="H557" s="2" t="s">
        <v>25</v>
      </c>
      <c r="I557" s="2" t="s">
        <v>1920</v>
      </c>
      <c r="J557" s="2" t="s">
        <v>1920</v>
      </c>
      <c r="K557" s="4">
        <v>46135.0</v>
      </c>
      <c r="L557" s="2" t="s">
        <v>2433</v>
      </c>
    </row>
    <row r="558">
      <c r="A558" s="2" t="s">
        <v>2434</v>
      </c>
      <c r="B558" s="2" t="s">
        <v>2435</v>
      </c>
      <c r="C558" s="2" t="s">
        <v>14</v>
      </c>
      <c r="D558" s="2" t="s">
        <v>15</v>
      </c>
      <c r="E558" s="2" t="s">
        <v>16</v>
      </c>
      <c r="F558" s="3">
        <f>+5491164335686</f>
        <v>5491164335686</v>
      </c>
      <c r="G558" s="2" t="s">
        <v>2436</v>
      </c>
      <c r="H558" s="2" t="s">
        <v>32</v>
      </c>
      <c r="I558" s="2" t="s">
        <v>25</v>
      </c>
      <c r="J558" s="2" t="s">
        <v>33</v>
      </c>
      <c r="K558" s="4">
        <v>46135.0</v>
      </c>
      <c r="L558" s="2" t="s">
        <v>2437</v>
      </c>
    </row>
    <row r="559">
      <c r="A559" s="2" t="s">
        <v>2438</v>
      </c>
      <c r="B559" s="2" t="s">
        <v>2439</v>
      </c>
      <c r="C559" s="2" t="s">
        <v>14</v>
      </c>
      <c r="D559" s="2" t="s">
        <v>15</v>
      </c>
      <c r="E559" s="2" t="s">
        <v>23</v>
      </c>
      <c r="F559" s="3">
        <f>+5491141471049</f>
        <v>5491141471049</v>
      </c>
      <c r="G559" s="2" t="s">
        <v>2440</v>
      </c>
      <c r="H559" s="2" t="s">
        <v>25</v>
      </c>
      <c r="I559" s="2" t="s">
        <v>241</v>
      </c>
      <c r="J559" s="2" t="s">
        <v>241</v>
      </c>
      <c r="K559" s="4">
        <v>46135.0</v>
      </c>
      <c r="L559" s="2" t="s">
        <v>2441</v>
      </c>
    </row>
    <row r="560">
      <c r="A560" s="2" t="s">
        <v>2442</v>
      </c>
      <c r="B560" s="2" t="s">
        <v>2443</v>
      </c>
      <c r="C560" s="2" t="s">
        <v>14</v>
      </c>
      <c r="D560" s="2" t="s">
        <v>15</v>
      </c>
      <c r="E560" s="2" t="s">
        <v>23</v>
      </c>
      <c r="F560" s="3">
        <f>+5491172379971</f>
        <v>5491172379971</v>
      </c>
      <c r="G560" s="2" t="s">
        <v>2444</v>
      </c>
      <c r="H560" s="2" t="s">
        <v>32</v>
      </c>
      <c r="I560" s="2" t="s">
        <v>25</v>
      </c>
      <c r="J560" s="2" t="s">
        <v>759</v>
      </c>
      <c r="K560" s="4">
        <v>46135.0</v>
      </c>
      <c r="L560" s="2" t="s">
        <v>2445</v>
      </c>
    </row>
    <row r="561">
      <c r="A561" s="2" t="s">
        <v>2446</v>
      </c>
      <c r="B561" s="2" t="s">
        <v>2447</v>
      </c>
      <c r="C561" s="2" t="s">
        <v>14</v>
      </c>
      <c r="D561" s="2" t="s">
        <v>15</v>
      </c>
      <c r="E561" s="2" t="s">
        <v>23</v>
      </c>
      <c r="F561" s="3">
        <f>+5491176266172</f>
        <v>5491176266172</v>
      </c>
      <c r="G561" s="2" t="s">
        <v>1051</v>
      </c>
      <c r="H561" s="2" t="s">
        <v>25</v>
      </c>
      <c r="I561" s="2" t="s">
        <v>78</v>
      </c>
      <c r="J561" s="2" t="s">
        <v>78</v>
      </c>
      <c r="K561" s="4">
        <v>46135.0</v>
      </c>
      <c r="L561" s="2" t="s">
        <v>1052</v>
      </c>
    </row>
    <row r="562">
      <c r="A562" s="2" t="s">
        <v>2448</v>
      </c>
      <c r="B562" s="2" t="s">
        <v>2449</v>
      </c>
      <c r="C562" s="2" t="s">
        <v>14</v>
      </c>
      <c r="D562" s="2" t="s">
        <v>15</v>
      </c>
      <c r="E562" s="2" t="s">
        <v>23</v>
      </c>
      <c r="F562" s="3">
        <f>+5492612337734</f>
        <v>5492612337734</v>
      </c>
      <c r="G562" s="2" t="s">
        <v>2450</v>
      </c>
      <c r="H562" s="2" t="s">
        <v>71</v>
      </c>
      <c r="I562" s="2" t="s">
        <v>1156</v>
      </c>
      <c r="J562" s="2" t="s">
        <v>1156</v>
      </c>
      <c r="K562" s="4">
        <v>46135.0</v>
      </c>
      <c r="L562" s="2" t="s">
        <v>2451</v>
      </c>
    </row>
    <row r="563">
      <c r="A563" s="2" t="s">
        <v>2452</v>
      </c>
      <c r="B563" s="2" t="s">
        <v>2453</v>
      </c>
      <c r="C563" s="2" t="s">
        <v>14</v>
      </c>
      <c r="D563" s="2" t="s">
        <v>15</v>
      </c>
      <c r="E563" s="2" t="s">
        <v>23</v>
      </c>
      <c r="F563" s="3">
        <f>+542613053360</f>
        <v>542613053360</v>
      </c>
      <c r="G563" s="2" t="s">
        <v>2454</v>
      </c>
      <c r="H563" s="2" t="s">
        <v>71</v>
      </c>
      <c r="I563" s="2" t="s">
        <v>72</v>
      </c>
      <c r="J563" s="2" t="s">
        <v>73</v>
      </c>
      <c r="K563" s="4">
        <v>46135.0</v>
      </c>
      <c r="L563" s="2" t="s">
        <v>2455</v>
      </c>
    </row>
    <row r="564">
      <c r="A564" s="2" t="s">
        <v>2456</v>
      </c>
      <c r="B564" s="2" t="s">
        <v>2457</v>
      </c>
      <c r="C564" s="2" t="s">
        <v>14</v>
      </c>
      <c r="D564" s="2" t="s">
        <v>15</v>
      </c>
      <c r="E564" s="2" t="s">
        <v>23</v>
      </c>
      <c r="F564" s="3">
        <f>+5493815179965</f>
        <v>5493815179965</v>
      </c>
      <c r="G564" s="2" t="s">
        <v>2458</v>
      </c>
      <c r="H564" s="2" t="s">
        <v>55</v>
      </c>
      <c r="I564" s="2" t="s">
        <v>883</v>
      </c>
      <c r="J564" s="2" t="s">
        <v>2459</v>
      </c>
      <c r="K564" s="4">
        <v>46135.0</v>
      </c>
      <c r="L564" s="2" t="s">
        <v>2460</v>
      </c>
    </row>
    <row r="565">
      <c r="A565" s="2" t="s">
        <v>2461</v>
      </c>
      <c r="B565" s="2" t="s">
        <v>2462</v>
      </c>
      <c r="C565" s="2" t="s">
        <v>14</v>
      </c>
      <c r="D565" s="2" t="s">
        <v>15</v>
      </c>
      <c r="E565" s="2" t="s">
        <v>23</v>
      </c>
      <c r="F565" s="3">
        <f>+5493874123445</f>
        <v>5493874123445</v>
      </c>
      <c r="G565" s="2" t="s">
        <v>2463</v>
      </c>
      <c r="H565" s="2" t="s">
        <v>725</v>
      </c>
      <c r="I565" s="2" t="s">
        <v>725</v>
      </c>
      <c r="J565" s="2" t="s">
        <v>2378</v>
      </c>
      <c r="K565" s="4">
        <v>46135.0</v>
      </c>
      <c r="L565" s="2" t="s">
        <v>2464</v>
      </c>
    </row>
    <row r="566">
      <c r="A566" s="2" t="s">
        <v>2465</v>
      </c>
      <c r="B566" s="2" t="s">
        <v>2466</v>
      </c>
      <c r="C566" s="2" t="s">
        <v>14</v>
      </c>
      <c r="D566" s="2" t="s">
        <v>15</v>
      </c>
      <c r="E566" s="2" t="s">
        <v>23</v>
      </c>
      <c r="F566" s="3">
        <f>+5491162303834</f>
        <v>5491162303834</v>
      </c>
      <c r="G566" s="2" t="s">
        <v>2467</v>
      </c>
      <c r="H566" s="2" t="s">
        <v>25</v>
      </c>
      <c r="I566" s="2" t="s">
        <v>486</v>
      </c>
      <c r="J566" s="2" t="s">
        <v>2468</v>
      </c>
      <c r="K566" s="4">
        <v>46135.0</v>
      </c>
      <c r="L566" s="2" t="s">
        <v>2469</v>
      </c>
    </row>
    <row r="567">
      <c r="A567" s="2" t="s">
        <v>2470</v>
      </c>
      <c r="B567" s="2" t="s">
        <v>2471</v>
      </c>
      <c r="C567" s="2" t="s">
        <v>14</v>
      </c>
      <c r="D567" s="2" t="s">
        <v>15</v>
      </c>
      <c r="E567" s="2" t="s">
        <v>23</v>
      </c>
      <c r="F567" s="3">
        <f>+5491173624539</f>
        <v>5491173624539</v>
      </c>
      <c r="G567" s="2" t="s">
        <v>2472</v>
      </c>
      <c r="H567" s="2" t="s">
        <v>32</v>
      </c>
      <c r="I567" s="2" t="s">
        <v>25</v>
      </c>
      <c r="J567" s="2" t="s">
        <v>559</v>
      </c>
      <c r="K567" s="4">
        <v>46135.0</v>
      </c>
      <c r="L567" s="2" t="s">
        <v>2473</v>
      </c>
    </row>
    <row r="568">
      <c r="A568" s="2" t="s">
        <v>2474</v>
      </c>
      <c r="B568" s="2" t="s">
        <v>2475</v>
      </c>
      <c r="C568" s="2" t="s">
        <v>14</v>
      </c>
      <c r="D568" s="2" t="s">
        <v>15</v>
      </c>
      <c r="E568" s="2" t="s">
        <v>23</v>
      </c>
      <c r="F568" s="3">
        <f>+5491125550312</f>
        <v>5491125550312</v>
      </c>
      <c r="G568" s="2" t="s">
        <v>2476</v>
      </c>
      <c r="H568" s="2" t="s">
        <v>25</v>
      </c>
      <c r="I568" s="2" t="s">
        <v>357</v>
      </c>
      <c r="J568" s="2" t="s">
        <v>413</v>
      </c>
      <c r="K568" s="4">
        <v>46135.0</v>
      </c>
      <c r="L568" s="2" t="s">
        <v>2477</v>
      </c>
    </row>
    <row r="569">
      <c r="A569" s="2" t="s">
        <v>2478</v>
      </c>
      <c r="B569" s="2" t="s">
        <v>2479</v>
      </c>
      <c r="C569" s="2" t="s">
        <v>14</v>
      </c>
      <c r="D569" s="2" t="s">
        <v>15</v>
      </c>
      <c r="E569" s="2" t="s">
        <v>23</v>
      </c>
      <c r="F569" s="3">
        <f>+5493413735940</f>
        <v>5493413735940</v>
      </c>
      <c r="G569" s="2" t="s">
        <v>2480</v>
      </c>
      <c r="H569" s="2" t="s">
        <v>65</v>
      </c>
      <c r="I569" s="2" t="s">
        <v>218</v>
      </c>
      <c r="J569" s="2" t="s">
        <v>252</v>
      </c>
      <c r="K569" s="4">
        <v>46135.0</v>
      </c>
      <c r="L569" s="2" t="s">
        <v>2481</v>
      </c>
    </row>
    <row r="570">
      <c r="A570" s="2" t="s">
        <v>2482</v>
      </c>
      <c r="B570" s="2" t="s">
        <v>2483</v>
      </c>
      <c r="C570" s="2" t="s">
        <v>14</v>
      </c>
      <c r="D570" s="2" t="s">
        <v>15</v>
      </c>
      <c r="E570" s="2" t="s">
        <v>23</v>
      </c>
      <c r="F570" s="3">
        <f>+543813009777</f>
        <v>543813009777</v>
      </c>
      <c r="G570" s="2" t="s">
        <v>2484</v>
      </c>
      <c r="H570" s="2" t="s">
        <v>55</v>
      </c>
      <c r="I570" s="2" t="s">
        <v>883</v>
      </c>
      <c r="J570" s="2" t="s">
        <v>1484</v>
      </c>
      <c r="K570" s="4">
        <v>46135.0</v>
      </c>
      <c r="L570" s="2" t="s">
        <v>2485</v>
      </c>
    </row>
    <row r="571">
      <c r="A571" s="2" t="s">
        <v>2486</v>
      </c>
      <c r="B571" s="2" t="s">
        <v>2487</v>
      </c>
      <c r="C571" s="2" t="s">
        <v>185</v>
      </c>
      <c r="D571" s="2" t="s">
        <v>15</v>
      </c>
      <c r="E571" s="2" t="s">
        <v>16</v>
      </c>
      <c r="F571" s="3">
        <f>+543515163516</f>
        <v>543515163516</v>
      </c>
      <c r="G571" s="2" t="s">
        <v>2488</v>
      </c>
      <c r="H571" s="2" t="s">
        <v>18</v>
      </c>
      <c r="I571" s="2" t="s">
        <v>18</v>
      </c>
      <c r="J571" s="2" t="s">
        <v>1129</v>
      </c>
      <c r="K571" s="4">
        <v>46135.0</v>
      </c>
      <c r="L571" s="2" t="s">
        <v>2489</v>
      </c>
    </row>
    <row r="572">
      <c r="A572" s="2" t="s">
        <v>2490</v>
      </c>
      <c r="B572" s="2" t="s">
        <v>2491</v>
      </c>
      <c r="C572" s="2" t="s">
        <v>14</v>
      </c>
      <c r="D572" s="2" t="s">
        <v>15</v>
      </c>
      <c r="E572" s="2" t="s">
        <v>23</v>
      </c>
      <c r="F572" s="3">
        <f>+5491126631537</f>
        <v>5491126631537</v>
      </c>
      <c r="G572" s="2" t="s">
        <v>2492</v>
      </c>
      <c r="H572" s="2" t="s">
        <v>25</v>
      </c>
      <c r="I572" s="2" t="s">
        <v>357</v>
      </c>
      <c r="J572" s="2" t="s">
        <v>413</v>
      </c>
      <c r="K572" s="4">
        <v>46135.0</v>
      </c>
      <c r="L572" s="2" t="s">
        <v>2493</v>
      </c>
    </row>
    <row r="573">
      <c r="A573" s="2" t="s">
        <v>2494</v>
      </c>
      <c r="B573" s="2" t="s">
        <v>2495</v>
      </c>
      <c r="C573" s="2" t="s">
        <v>14</v>
      </c>
      <c r="D573" s="2" t="s">
        <v>15</v>
      </c>
      <c r="E573" s="2" t="s">
        <v>23</v>
      </c>
      <c r="F573" s="3">
        <f>+5491134972981</f>
        <v>5491134972981</v>
      </c>
      <c r="G573" s="2" t="s">
        <v>2496</v>
      </c>
      <c r="H573" s="2" t="s">
        <v>25</v>
      </c>
      <c r="I573" s="2" t="s">
        <v>49</v>
      </c>
      <c r="J573" s="2" t="s">
        <v>178</v>
      </c>
      <c r="K573" s="4">
        <v>46135.0</v>
      </c>
      <c r="L573" s="2" t="s">
        <v>2497</v>
      </c>
    </row>
    <row r="574">
      <c r="A574" s="2" t="s">
        <v>2498</v>
      </c>
      <c r="B574" s="2" t="s">
        <v>2499</v>
      </c>
      <c r="C574" s="2" t="s">
        <v>14</v>
      </c>
      <c r="D574" s="2" t="s">
        <v>15</v>
      </c>
      <c r="E574" s="2" t="s">
        <v>23</v>
      </c>
      <c r="F574" s="3">
        <f>+5491167694542</f>
        <v>5491167694542</v>
      </c>
      <c r="G574" s="2" t="s">
        <v>2500</v>
      </c>
      <c r="H574" s="2" t="s">
        <v>25</v>
      </c>
      <c r="I574" s="2" t="s">
        <v>230</v>
      </c>
      <c r="J574" s="2" t="s">
        <v>231</v>
      </c>
      <c r="K574" s="4">
        <v>46135.0</v>
      </c>
      <c r="L574" s="2" t="s">
        <v>2501</v>
      </c>
    </row>
    <row r="575">
      <c r="A575" s="2" t="s">
        <v>2502</v>
      </c>
      <c r="B575" s="2" t="s">
        <v>2503</v>
      </c>
      <c r="C575" s="2" t="s">
        <v>14</v>
      </c>
      <c r="D575" s="2" t="s">
        <v>15</v>
      </c>
      <c r="E575" s="2" t="s">
        <v>16</v>
      </c>
      <c r="F575" s="3">
        <f>+5492612337734</f>
        <v>5492612337734</v>
      </c>
      <c r="G575" s="2" t="s">
        <v>2504</v>
      </c>
      <c r="H575" s="2" t="s">
        <v>71</v>
      </c>
      <c r="I575" s="2" t="s">
        <v>72</v>
      </c>
      <c r="J575" s="2" t="s">
        <v>73</v>
      </c>
      <c r="K575" s="4">
        <v>46135.0</v>
      </c>
      <c r="L575" s="2" t="s">
        <v>2505</v>
      </c>
    </row>
    <row r="576">
      <c r="A576" s="2" t="s">
        <v>2506</v>
      </c>
      <c r="B576" s="2" t="s">
        <v>2507</v>
      </c>
      <c r="C576" s="2" t="s">
        <v>14</v>
      </c>
      <c r="D576" s="2" t="s">
        <v>15</v>
      </c>
      <c r="E576" s="2" t="s">
        <v>23</v>
      </c>
      <c r="F576" s="3">
        <f>+54901127394193</f>
        <v>54901127394193</v>
      </c>
      <c r="G576" s="2" t="s">
        <v>2508</v>
      </c>
      <c r="H576" s="2" t="s">
        <v>25</v>
      </c>
      <c r="I576" s="2" t="s">
        <v>118</v>
      </c>
      <c r="J576" s="2" t="s">
        <v>381</v>
      </c>
      <c r="K576" s="4">
        <v>46135.0</v>
      </c>
      <c r="L576" s="2" t="s">
        <v>2509</v>
      </c>
    </row>
    <row r="577">
      <c r="A577" s="2" t="s">
        <v>2510</v>
      </c>
      <c r="B577" s="2" t="s">
        <v>2511</v>
      </c>
      <c r="C577" s="2" t="s">
        <v>14</v>
      </c>
      <c r="D577" s="2" t="s">
        <v>15</v>
      </c>
      <c r="E577" s="2" t="s">
        <v>23</v>
      </c>
      <c r="F577" s="3">
        <f>+5492914395956</f>
        <v>5492914395956</v>
      </c>
      <c r="G577" s="2" t="s">
        <v>2512</v>
      </c>
      <c r="H577" s="2" t="s">
        <v>25</v>
      </c>
      <c r="I577" s="2" t="s">
        <v>841</v>
      </c>
      <c r="J577" s="2" t="s">
        <v>2513</v>
      </c>
      <c r="K577" s="4">
        <v>46135.0</v>
      </c>
      <c r="L577" s="2" t="s">
        <v>2514</v>
      </c>
    </row>
    <row r="578">
      <c r="A578" s="2" t="s">
        <v>2515</v>
      </c>
      <c r="B578" s="2" t="s">
        <v>2516</v>
      </c>
      <c r="C578" s="2" t="s">
        <v>14</v>
      </c>
      <c r="D578" s="2" t="s">
        <v>15</v>
      </c>
      <c r="E578" s="2" t="s">
        <v>23</v>
      </c>
      <c r="F578" s="3">
        <f>+5491126835574</f>
        <v>5491126835574</v>
      </c>
      <c r="G578" s="2" t="s">
        <v>2517</v>
      </c>
      <c r="H578" s="2" t="s">
        <v>25</v>
      </c>
      <c r="I578" s="2" t="s">
        <v>314</v>
      </c>
      <c r="J578" s="2" t="s">
        <v>314</v>
      </c>
      <c r="K578" s="4">
        <v>46135.0</v>
      </c>
      <c r="L578" s="2" t="s">
        <v>2518</v>
      </c>
    </row>
    <row r="579">
      <c r="A579" s="2" t="s">
        <v>2519</v>
      </c>
      <c r="B579" s="2" t="s">
        <v>2520</v>
      </c>
      <c r="C579" s="2" t="s">
        <v>14</v>
      </c>
      <c r="D579" s="2" t="s">
        <v>15</v>
      </c>
      <c r="E579" s="2" t="s">
        <v>23</v>
      </c>
      <c r="F579" s="3">
        <f>+54901128688556</f>
        <v>54901128688556</v>
      </c>
      <c r="G579" s="2" t="s">
        <v>2521</v>
      </c>
      <c r="H579" s="2" t="s">
        <v>25</v>
      </c>
      <c r="I579" s="2" t="s">
        <v>314</v>
      </c>
      <c r="J579" s="2" t="s">
        <v>2522</v>
      </c>
      <c r="K579" s="4">
        <v>46135.0</v>
      </c>
      <c r="L579" s="2" t="s">
        <v>2523</v>
      </c>
    </row>
    <row r="580">
      <c r="A580" s="2" t="s">
        <v>2524</v>
      </c>
      <c r="B580" s="2" t="s">
        <v>2525</v>
      </c>
      <c r="C580" s="2" t="s">
        <v>14</v>
      </c>
      <c r="D580" s="2" t="s">
        <v>15</v>
      </c>
      <c r="E580" s="2" t="s">
        <v>23</v>
      </c>
      <c r="F580" s="3">
        <f>+5491121630586</f>
        <v>5491121630586</v>
      </c>
      <c r="G580" s="2" t="s">
        <v>2526</v>
      </c>
      <c r="H580" s="2" t="s">
        <v>25</v>
      </c>
      <c r="I580" s="2" t="s">
        <v>78</v>
      </c>
      <c r="J580" s="2" t="s">
        <v>78</v>
      </c>
      <c r="K580" s="4">
        <v>46135.0</v>
      </c>
      <c r="L580" s="2" t="s">
        <v>2527</v>
      </c>
    </row>
    <row r="581">
      <c r="A581" s="2" t="s">
        <v>2528</v>
      </c>
      <c r="B581" s="2" t="s">
        <v>2529</v>
      </c>
      <c r="C581" s="2" t="s">
        <v>14</v>
      </c>
      <c r="D581" s="2" t="s">
        <v>15</v>
      </c>
      <c r="E581" s="2" t="s">
        <v>23</v>
      </c>
      <c r="F581" s="3">
        <f>+5492213504683</f>
        <v>5492213504683</v>
      </c>
      <c r="G581" s="2" t="s">
        <v>2530</v>
      </c>
      <c r="H581" s="2" t="s">
        <v>25</v>
      </c>
      <c r="I581" s="2" t="s">
        <v>44</v>
      </c>
      <c r="J581" s="2" t="s">
        <v>468</v>
      </c>
      <c r="K581" s="4">
        <v>46135.0</v>
      </c>
      <c r="L581" s="2" t="s">
        <v>2531</v>
      </c>
    </row>
    <row r="582">
      <c r="A582" s="2" t="s">
        <v>2532</v>
      </c>
      <c r="B582" s="2" t="s">
        <v>2533</v>
      </c>
      <c r="C582" s="2" t="s">
        <v>14</v>
      </c>
      <c r="D582" s="2" t="s">
        <v>15</v>
      </c>
      <c r="E582" s="2" t="s">
        <v>23</v>
      </c>
      <c r="F582" s="3">
        <f>+5492216300001</f>
        <v>5492216300001</v>
      </c>
      <c r="G582" s="2" t="s">
        <v>2534</v>
      </c>
      <c r="H582" s="2" t="s">
        <v>25</v>
      </c>
      <c r="I582" s="2" t="s">
        <v>44</v>
      </c>
      <c r="J582" s="2" t="s">
        <v>2535</v>
      </c>
      <c r="K582" s="4">
        <v>46135.0</v>
      </c>
      <c r="L582" s="2" t="s">
        <v>2536</v>
      </c>
    </row>
    <row r="583">
      <c r="A583" s="2" t="s">
        <v>2537</v>
      </c>
      <c r="B583" s="2" t="s">
        <v>2538</v>
      </c>
      <c r="C583" s="2" t="s">
        <v>14</v>
      </c>
      <c r="D583" s="2" t="s">
        <v>15</v>
      </c>
      <c r="E583" s="2" t="s">
        <v>23</v>
      </c>
      <c r="F583" s="3">
        <f>+54901163611940</f>
        <v>54901163611940</v>
      </c>
      <c r="G583" s="2" t="s">
        <v>2539</v>
      </c>
      <c r="H583" s="2" t="s">
        <v>25</v>
      </c>
      <c r="I583" s="2" t="s">
        <v>241</v>
      </c>
      <c r="J583" s="2" t="s">
        <v>2540</v>
      </c>
      <c r="K583" s="4">
        <v>46135.0</v>
      </c>
      <c r="L583" s="2" t="s">
        <v>2541</v>
      </c>
    </row>
    <row r="584">
      <c r="A584" s="2" t="s">
        <v>2542</v>
      </c>
      <c r="B584" s="2" t="s">
        <v>2543</v>
      </c>
      <c r="C584" s="2" t="s">
        <v>14</v>
      </c>
      <c r="D584" s="2" t="s">
        <v>15</v>
      </c>
      <c r="E584" s="2" t="s">
        <v>23</v>
      </c>
      <c r="F584" s="3">
        <f>+5492916436747</f>
        <v>5492916436747</v>
      </c>
      <c r="G584" s="2" t="s">
        <v>2544</v>
      </c>
      <c r="H584" s="2" t="s">
        <v>25</v>
      </c>
      <c r="I584" s="2" t="s">
        <v>841</v>
      </c>
      <c r="J584" s="2" t="s">
        <v>336</v>
      </c>
      <c r="K584" s="4">
        <v>46135.0</v>
      </c>
      <c r="L584" s="2" t="s">
        <v>2545</v>
      </c>
    </row>
    <row r="585">
      <c r="A585" s="2" t="s">
        <v>2546</v>
      </c>
      <c r="B585" s="2" t="s">
        <v>2547</v>
      </c>
      <c r="C585" s="2" t="s">
        <v>14</v>
      </c>
      <c r="D585" s="2" t="s">
        <v>15</v>
      </c>
      <c r="E585" s="2" t="s">
        <v>16</v>
      </c>
      <c r="F585" s="3">
        <f>+5491138462306</f>
        <v>5491138462306</v>
      </c>
      <c r="G585" s="2" t="s">
        <v>2548</v>
      </c>
      <c r="H585" s="2" t="s">
        <v>25</v>
      </c>
      <c r="I585" s="2" t="s">
        <v>203</v>
      </c>
      <c r="J585" s="2" t="s">
        <v>204</v>
      </c>
      <c r="K585" s="4">
        <v>46135.0</v>
      </c>
      <c r="L585" s="2" t="s">
        <v>2549</v>
      </c>
    </row>
    <row r="586">
      <c r="A586" s="2" t="s">
        <v>2550</v>
      </c>
      <c r="B586" s="2" t="s">
        <v>2551</v>
      </c>
      <c r="C586" s="2" t="s">
        <v>14</v>
      </c>
      <c r="D586" s="2" t="s">
        <v>15</v>
      </c>
      <c r="E586" s="2" t="s">
        <v>23</v>
      </c>
      <c r="F586" s="3">
        <f>+5491124045673</f>
        <v>5491124045673</v>
      </c>
      <c r="G586" s="2" t="s">
        <v>2552</v>
      </c>
      <c r="H586" s="2" t="s">
        <v>25</v>
      </c>
      <c r="I586" s="2" t="s">
        <v>97</v>
      </c>
      <c r="J586" s="2" t="s">
        <v>507</v>
      </c>
      <c r="K586" s="4">
        <v>46135.0</v>
      </c>
      <c r="L586" s="2" t="s">
        <v>2553</v>
      </c>
    </row>
    <row r="587">
      <c r="A587" s="2" t="s">
        <v>2554</v>
      </c>
      <c r="B587" s="2" t="s">
        <v>2555</v>
      </c>
      <c r="C587" s="2" t="s">
        <v>14</v>
      </c>
      <c r="D587" s="2" t="s">
        <v>15</v>
      </c>
      <c r="E587" s="2" t="s">
        <v>23</v>
      </c>
      <c r="F587" s="3">
        <f>+5493416886312</f>
        <v>5493416886312</v>
      </c>
      <c r="G587" s="2" t="s">
        <v>2556</v>
      </c>
      <c r="H587" s="2" t="s">
        <v>65</v>
      </c>
      <c r="I587" s="2" t="s">
        <v>218</v>
      </c>
      <c r="J587" s="2" t="s">
        <v>2557</v>
      </c>
      <c r="K587" s="4">
        <v>46135.0</v>
      </c>
      <c r="L587" s="2" t="s">
        <v>2558</v>
      </c>
    </row>
    <row r="588">
      <c r="A588" s="2" t="s">
        <v>2559</v>
      </c>
      <c r="B588" s="2" t="s">
        <v>2560</v>
      </c>
      <c r="C588" s="2" t="s">
        <v>14</v>
      </c>
      <c r="D588" s="2" t="s">
        <v>15</v>
      </c>
      <c r="E588" s="2" t="s">
        <v>16</v>
      </c>
      <c r="F588" s="3">
        <f>+5491162609785</f>
        <v>5491162609785</v>
      </c>
      <c r="G588" s="2" t="s">
        <v>2561</v>
      </c>
      <c r="H588" s="2" t="s">
        <v>32</v>
      </c>
      <c r="I588" s="2" t="s">
        <v>25</v>
      </c>
      <c r="J588" s="2" t="s">
        <v>846</v>
      </c>
      <c r="K588" s="4">
        <v>46135.0</v>
      </c>
      <c r="L588" s="2" t="s">
        <v>2562</v>
      </c>
    </row>
    <row r="589">
      <c r="A589" s="2" t="s">
        <v>2563</v>
      </c>
      <c r="B589" s="2" t="s">
        <v>2564</v>
      </c>
      <c r="C589" s="2" t="s">
        <v>14</v>
      </c>
      <c r="D589" s="2" t="s">
        <v>15</v>
      </c>
      <c r="E589" s="2" t="s">
        <v>23</v>
      </c>
      <c r="F589" s="3">
        <f>+5493815084922</f>
        <v>5493815084922</v>
      </c>
      <c r="G589" s="2" t="s">
        <v>2565</v>
      </c>
      <c r="H589" s="2" t="s">
        <v>55</v>
      </c>
      <c r="I589" s="2" t="s">
        <v>56</v>
      </c>
      <c r="J589" s="2" t="s">
        <v>56</v>
      </c>
      <c r="K589" s="4">
        <v>46135.0</v>
      </c>
      <c r="L589" s="2" t="s">
        <v>2566</v>
      </c>
    </row>
    <row r="590">
      <c r="A590" s="2" t="s">
        <v>2567</v>
      </c>
      <c r="B590" s="2" t="s">
        <v>2568</v>
      </c>
      <c r="C590" s="2" t="s">
        <v>14</v>
      </c>
      <c r="D590" s="2" t="s">
        <v>15</v>
      </c>
      <c r="E590" s="2" t="s">
        <v>23</v>
      </c>
      <c r="F590" s="3">
        <f>+5491171350782</f>
        <v>5491171350782</v>
      </c>
      <c r="G590" s="2" t="s">
        <v>2569</v>
      </c>
      <c r="H590" s="2" t="s">
        <v>25</v>
      </c>
      <c r="I590" s="2" t="s">
        <v>118</v>
      </c>
      <c r="J590" s="2" t="s">
        <v>124</v>
      </c>
      <c r="K590" s="4">
        <v>46135.0</v>
      </c>
      <c r="L590" s="2" t="s">
        <v>2570</v>
      </c>
    </row>
    <row r="591">
      <c r="A591" s="2" t="s">
        <v>2571</v>
      </c>
      <c r="B591" s="2" t="s">
        <v>2572</v>
      </c>
      <c r="C591" s="2" t="s">
        <v>14</v>
      </c>
      <c r="D591" s="2" t="s">
        <v>15</v>
      </c>
      <c r="E591" s="2" t="s">
        <v>23</v>
      </c>
      <c r="F591" s="3">
        <f>+5491163365402</f>
        <v>5491163365402</v>
      </c>
      <c r="G591" s="2" t="s">
        <v>2573</v>
      </c>
      <c r="H591" s="2" t="s">
        <v>25</v>
      </c>
      <c r="I591" s="2" t="s">
        <v>764</v>
      </c>
      <c r="J591" s="2" t="s">
        <v>765</v>
      </c>
      <c r="K591" s="4">
        <v>46135.0</v>
      </c>
      <c r="L591" s="2" t="s">
        <v>2574</v>
      </c>
    </row>
    <row r="592">
      <c r="A592" s="2" t="s">
        <v>2575</v>
      </c>
      <c r="B592" s="2" t="s">
        <v>2576</v>
      </c>
      <c r="C592" s="2" t="s">
        <v>14</v>
      </c>
      <c r="D592" s="2" t="s">
        <v>15</v>
      </c>
      <c r="E592" s="2" t="s">
        <v>23</v>
      </c>
      <c r="F592" s="3">
        <f>+5491176266172</f>
        <v>5491176266172</v>
      </c>
      <c r="G592" s="2" t="s">
        <v>1051</v>
      </c>
      <c r="H592" s="2" t="s">
        <v>25</v>
      </c>
      <c r="I592" s="2" t="s">
        <v>78</v>
      </c>
      <c r="J592" s="2" t="s">
        <v>78</v>
      </c>
      <c r="K592" s="4">
        <v>46135.0</v>
      </c>
      <c r="L592" s="2" t="s">
        <v>1052</v>
      </c>
    </row>
    <row r="593">
      <c r="A593" s="2" t="s">
        <v>2577</v>
      </c>
      <c r="B593" s="2" t="s">
        <v>2578</v>
      </c>
      <c r="C593" s="2" t="s">
        <v>14</v>
      </c>
      <c r="D593" s="2" t="s">
        <v>15</v>
      </c>
      <c r="E593" s="2" t="s">
        <v>23</v>
      </c>
      <c r="F593" s="3">
        <f>+5492235463005</f>
        <v>5492235463005</v>
      </c>
      <c r="G593" s="2" t="s">
        <v>2579</v>
      </c>
      <c r="H593" s="2" t="s">
        <v>25</v>
      </c>
      <c r="I593" s="2" t="s">
        <v>649</v>
      </c>
      <c r="J593" s="2" t="s">
        <v>1047</v>
      </c>
      <c r="K593" s="4">
        <v>46135.0</v>
      </c>
      <c r="L593" s="2" t="s">
        <v>2580</v>
      </c>
    </row>
    <row r="594">
      <c r="A594" s="2" t="s">
        <v>2581</v>
      </c>
      <c r="B594" s="2" t="s">
        <v>2582</v>
      </c>
      <c r="C594" s="2" t="s">
        <v>14</v>
      </c>
      <c r="D594" s="2" t="s">
        <v>15</v>
      </c>
      <c r="E594" s="2" t="s">
        <v>23</v>
      </c>
      <c r="F594" s="3">
        <f>+5491134102230</f>
        <v>5491134102230</v>
      </c>
      <c r="G594" s="2" t="s">
        <v>2583</v>
      </c>
      <c r="H594" s="2" t="s">
        <v>25</v>
      </c>
      <c r="I594" s="2" t="s">
        <v>246</v>
      </c>
      <c r="J594" s="2" t="s">
        <v>299</v>
      </c>
      <c r="K594" s="4">
        <v>46135.0</v>
      </c>
      <c r="L594" s="2" t="s">
        <v>2584</v>
      </c>
    </row>
    <row r="595">
      <c r="A595" s="2" t="s">
        <v>2585</v>
      </c>
      <c r="B595" s="2" t="s">
        <v>2586</v>
      </c>
      <c r="C595" s="2" t="s">
        <v>14</v>
      </c>
      <c r="D595" s="2" t="s">
        <v>15</v>
      </c>
      <c r="E595" s="2" t="s">
        <v>23</v>
      </c>
      <c r="F595" s="3">
        <f>+5491141954240</f>
        <v>5491141954240</v>
      </c>
      <c r="G595" s="2" t="s">
        <v>2587</v>
      </c>
      <c r="H595" s="2" t="s">
        <v>32</v>
      </c>
      <c r="I595" s="2" t="s">
        <v>25</v>
      </c>
      <c r="J595" s="2" t="s">
        <v>874</v>
      </c>
      <c r="K595" s="4">
        <v>46135.0</v>
      </c>
      <c r="L595" s="2" t="s">
        <v>2588</v>
      </c>
    </row>
    <row r="596">
      <c r="A596" s="2" t="s">
        <v>2589</v>
      </c>
      <c r="B596" s="2" t="s">
        <v>2590</v>
      </c>
      <c r="C596" s="2" t="s">
        <v>14</v>
      </c>
      <c r="D596" s="2" t="s">
        <v>15</v>
      </c>
      <c r="E596" s="2" t="s">
        <v>23</v>
      </c>
      <c r="F596" s="3">
        <f>+5493541540137</f>
        <v>5493541540137</v>
      </c>
      <c r="G596" s="2" t="s">
        <v>2591</v>
      </c>
      <c r="H596" s="2" t="s">
        <v>18</v>
      </c>
      <c r="I596" s="2" t="s">
        <v>535</v>
      </c>
      <c r="J596" s="2" t="s">
        <v>541</v>
      </c>
      <c r="K596" s="4">
        <v>46135.0</v>
      </c>
      <c r="L596" s="2" t="s">
        <v>2592</v>
      </c>
    </row>
    <row r="597">
      <c r="A597" s="2" t="s">
        <v>2593</v>
      </c>
      <c r="B597" s="2" t="s">
        <v>2594</v>
      </c>
      <c r="C597" s="2" t="s">
        <v>14</v>
      </c>
      <c r="D597" s="2" t="s">
        <v>15</v>
      </c>
      <c r="E597" s="2" t="s">
        <v>23</v>
      </c>
      <c r="F597" s="3">
        <f>+5491134990809</f>
        <v>5491134990809</v>
      </c>
      <c r="G597" s="2" t="s">
        <v>2595</v>
      </c>
      <c r="H597" s="2" t="s">
        <v>25</v>
      </c>
      <c r="I597" s="2" t="s">
        <v>26</v>
      </c>
      <c r="J597" s="2" t="s">
        <v>455</v>
      </c>
      <c r="K597" s="4">
        <v>46135.0</v>
      </c>
      <c r="L597" s="2" t="s">
        <v>2596</v>
      </c>
    </row>
    <row r="598">
      <c r="A598" s="2" t="s">
        <v>2597</v>
      </c>
      <c r="B598" s="2" t="s">
        <v>2598</v>
      </c>
      <c r="C598" s="2" t="s">
        <v>14</v>
      </c>
      <c r="D598" s="2" t="s">
        <v>15</v>
      </c>
      <c r="E598" s="2" t="s">
        <v>23</v>
      </c>
      <c r="F598" s="3">
        <f>+5492612457008</f>
        <v>5492612457008</v>
      </c>
      <c r="G598" s="2" t="s">
        <v>2599</v>
      </c>
      <c r="H598" s="2" t="s">
        <v>71</v>
      </c>
      <c r="I598" s="2" t="s">
        <v>902</v>
      </c>
      <c r="J598" s="2" t="s">
        <v>903</v>
      </c>
      <c r="K598" s="4">
        <v>46135.0</v>
      </c>
      <c r="L598" s="2" t="s">
        <v>2600</v>
      </c>
    </row>
    <row r="599">
      <c r="A599" s="2" t="s">
        <v>2601</v>
      </c>
      <c r="B599" s="2" t="s">
        <v>2602</v>
      </c>
      <c r="C599" s="2" t="s">
        <v>14</v>
      </c>
      <c r="D599" s="2" t="s">
        <v>15</v>
      </c>
      <c r="E599" s="2" t="s">
        <v>16</v>
      </c>
      <c r="F599" s="3">
        <f>+549117070595</f>
        <v>549117070595</v>
      </c>
      <c r="G599" s="2" t="s">
        <v>2603</v>
      </c>
      <c r="H599" s="2" t="s">
        <v>32</v>
      </c>
      <c r="I599" s="2" t="s">
        <v>25</v>
      </c>
      <c r="J599" s="2" t="s">
        <v>759</v>
      </c>
      <c r="K599" s="4">
        <v>46135.0</v>
      </c>
      <c r="L599" s="2" t="s">
        <v>2604</v>
      </c>
    </row>
    <row r="600">
      <c r="A600" s="2" t="s">
        <v>2605</v>
      </c>
      <c r="B600" s="2" t="s">
        <v>2606</v>
      </c>
      <c r="C600" s="2" t="s">
        <v>14</v>
      </c>
      <c r="D600" s="2" t="s">
        <v>15</v>
      </c>
      <c r="E600" s="2" t="s">
        <v>16</v>
      </c>
      <c r="F600" s="3">
        <f>+5491144155474</f>
        <v>5491144155474</v>
      </c>
      <c r="G600" s="2" t="s">
        <v>2607</v>
      </c>
      <c r="H600" s="2" t="s">
        <v>32</v>
      </c>
      <c r="I600" s="2" t="s">
        <v>25</v>
      </c>
      <c r="J600" s="2" t="s">
        <v>408</v>
      </c>
      <c r="K600" s="4">
        <v>46135.0</v>
      </c>
      <c r="L600" s="2" t="s">
        <v>2608</v>
      </c>
    </row>
    <row r="601">
      <c r="A601" s="2" t="s">
        <v>2609</v>
      </c>
      <c r="B601" s="2" t="s">
        <v>2610</v>
      </c>
      <c r="C601" s="2" t="s">
        <v>14</v>
      </c>
      <c r="D601" s="2" t="s">
        <v>15</v>
      </c>
      <c r="E601" s="2" t="s">
        <v>23</v>
      </c>
      <c r="F601" s="3">
        <f>+54903816308678</f>
        <v>54903816308678</v>
      </c>
      <c r="G601" s="2" t="s">
        <v>2611</v>
      </c>
      <c r="H601" s="2" t="s">
        <v>55</v>
      </c>
      <c r="I601" s="2" t="s">
        <v>56</v>
      </c>
      <c r="J601" s="2" t="s">
        <v>56</v>
      </c>
      <c r="K601" s="4">
        <v>46135.0</v>
      </c>
      <c r="L601" s="2" t="s">
        <v>2612</v>
      </c>
    </row>
    <row r="602">
      <c r="A602" s="2" t="s">
        <v>2613</v>
      </c>
      <c r="B602" s="2" t="s">
        <v>2614</v>
      </c>
      <c r="C602" s="2" t="s">
        <v>14</v>
      </c>
      <c r="D602" s="2" t="s">
        <v>15</v>
      </c>
      <c r="E602" s="2" t="s">
        <v>23</v>
      </c>
      <c r="F602" s="3">
        <f>+5491126516281</f>
        <v>5491126516281</v>
      </c>
      <c r="G602" s="2" t="s">
        <v>2615</v>
      </c>
      <c r="H602" s="2" t="s">
        <v>25</v>
      </c>
      <c r="I602" s="2" t="s">
        <v>357</v>
      </c>
      <c r="J602" s="2" t="s">
        <v>787</v>
      </c>
      <c r="K602" s="4">
        <v>46135.0</v>
      </c>
      <c r="L602" s="2" t="s">
        <v>2616</v>
      </c>
    </row>
    <row r="603">
      <c r="A603" s="2" t="s">
        <v>2617</v>
      </c>
      <c r="B603" s="2" t="s">
        <v>2618</v>
      </c>
      <c r="C603" s="2" t="s">
        <v>14</v>
      </c>
      <c r="D603" s="2" t="s">
        <v>15</v>
      </c>
      <c r="E603" s="2" t="s">
        <v>23</v>
      </c>
      <c r="F603" s="3">
        <f>+5491159793528</f>
        <v>5491159793528</v>
      </c>
      <c r="G603" s="2" t="s">
        <v>2619</v>
      </c>
      <c r="H603" s="2" t="s">
        <v>25</v>
      </c>
      <c r="I603" s="2" t="s">
        <v>241</v>
      </c>
      <c r="J603" s="2" t="s">
        <v>2540</v>
      </c>
      <c r="K603" s="4">
        <v>46134.0</v>
      </c>
      <c r="L603" s="2" t="s">
        <v>2620</v>
      </c>
    </row>
    <row r="604">
      <c r="A604" s="2" t="s">
        <v>2621</v>
      </c>
      <c r="B604" s="2" t="s">
        <v>2622</v>
      </c>
      <c r="C604" s="2" t="s">
        <v>14</v>
      </c>
      <c r="D604" s="2" t="s">
        <v>15</v>
      </c>
      <c r="E604" s="2" t="s">
        <v>23</v>
      </c>
      <c r="F604" s="3">
        <f>+5492616700469</f>
        <v>5492616700469</v>
      </c>
      <c r="G604" s="2" t="s">
        <v>2623</v>
      </c>
      <c r="H604" s="2" t="s">
        <v>71</v>
      </c>
      <c r="I604" s="2" t="s">
        <v>1625</v>
      </c>
      <c r="J604" s="2" t="s">
        <v>1626</v>
      </c>
      <c r="K604" s="4">
        <v>46134.0</v>
      </c>
      <c r="L604" s="2" t="s">
        <v>2624</v>
      </c>
    </row>
    <row r="605">
      <c r="A605" s="2" t="s">
        <v>2625</v>
      </c>
      <c r="B605" s="2" t="s">
        <v>2626</v>
      </c>
      <c r="C605" s="2" t="s">
        <v>14</v>
      </c>
      <c r="D605" s="2" t="s">
        <v>15</v>
      </c>
      <c r="E605" s="2" t="s">
        <v>23</v>
      </c>
      <c r="F605" s="3">
        <f>+5493885490458</f>
        <v>5493885490458</v>
      </c>
      <c r="G605" s="2" t="s">
        <v>2627</v>
      </c>
      <c r="H605" s="2" t="s">
        <v>725</v>
      </c>
      <c r="I605" s="2" t="s">
        <v>725</v>
      </c>
      <c r="J605" s="2" t="s">
        <v>2628</v>
      </c>
      <c r="K605" s="4">
        <v>46134.0</v>
      </c>
      <c r="L605" s="2" t="s">
        <v>2629</v>
      </c>
    </row>
    <row r="606">
      <c r="A606" s="2" t="s">
        <v>2630</v>
      </c>
      <c r="B606" s="2" t="s">
        <v>2631</v>
      </c>
      <c r="C606" s="2" t="s">
        <v>14</v>
      </c>
      <c r="D606" s="2" t="s">
        <v>15</v>
      </c>
      <c r="E606" s="2" t="s">
        <v>23</v>
      </c>
      <c r="F606" s="3">
        <f>+5491138578570</f>
        <v>5491138578570</v>
      </c>
      <c r="G606" s="2" t="s">
        <v>2632</v>
      </c>
      <c r="H606" s="2" t="s">
        <v>25</v>
      </c>
      <c r="I606" s="2" t="s">
        <v>38</v>
      </c>
      <c r="J606" s="2" t="s">
        <v>103</v>
      </c>
      <c r="K606" s="4">
        <v>46134.0</v>
      </c>
      <c r="L606" s="2" t="s">
        <v>2633</v>
      </c>
    </row>
    <row r="607">
      <c r="A607" s="2" t="s">
        <v>2634</v>
      </c>
      <c r="B607" s="2" t="s">
        <v>2635</v>
      </c>
      <c r="C607" s="2" t="s">
        <v>14</v>
      </c>
      <c r="D607" s="2" t="s">
        <v>15</v>
      </c>
      <c r="E607" s="2" t="s">
        <v>16</v>
      </c>
      <c r="F607" s="3">
        <f>+5491158971470</f>
        <v>5491158971470</v>
      </c>
      <c r="G607" s="2" t="s">
        <v>2636</v>
      </c>
      <c r="H607" s="2" t="s">
        <v>32</v>
      </c>
      <c r="I607" s="2" t="s">
        <v>25</v>
      </c>
      <c r="J607" s="2" t="s">
        <v>559</v>
      </c>
      <c r="K607" s="4">
        <v>46134.0</v>
      </c>
      <c r="L607" s="2" t="s">
        <v>2637</v>
      </c>
    </row>
    <row r="608">
      <c r="A608" s="2" t="s">
        <v>2638</v>
      </c>
      <c r="B608" s="2" t="s">
        <v>2639</v>
      </c>
      <c r="C608" s="2" t="s">
        <v>14</v>
      </c>
      <c r="D608" s="2" t="s">
        <v>15</v>
      </c>
      <c r="E608" s="2" t="s">
        <v>23</v>
      </c>
      <c r="F608" s="3">
        <f>+5491130000000</f>
        <v>5491130000000</v>
      </c>
      <c r="G608" s="2" t="s">
        <v>2640</v>
      </c>
      <c r="H608" s="2" t="s">
        <v>32</v>
      </c>
      <c r="I608" s="2" t="s">
        <v>25</v>
      </c>
      <c r="J608" s="2" t="s">
        <v>874</v>
      </c>
      <c r="K608" s="4">
        <v>46134.0</v>
      </c>
      <c r="L608" s="2" t="s">
        <v>2641</v>
      </c>
    </row>
    <row r="609">
      <c r="A609" s="2" t="s">
        <v>2642</v>
      </c>
      <c r="B609" s="2" t="s">
        <v>2643</v>
      </c>
      <c r="C609" s="2" t="s">
        <v>14</v>
      </c>
      <c r="D609" s="2" t="s">
        <v>15</v>
      </c>
      <c r="E609" s="2" t="s">
        <v>16</v>
      </c>
      <c r="F609" s="3">
        <f>+5491166749513</f>
        <v>5491166749513</v>
      </c>
      <c r="G609" s="2" t="s">
        <v>2644</v>
      </c>
      <c r="H609" s="2" t="s">
        <v>32</v>
      </c>
      <c r="I609" s="2" t="s">
        <v>25</v>
      </c>
      <c r="J609" s="2" t="s">
        <v>759</v>
      </c>
      <c r="K609" s="4">
        <v>46134.0</v>
      </c>
      <c r="L609" s="2" t="s">
        <v>2645</v>
      </c>
    </row>
    <row r="610">
      <c r="A610" s="2" t="s">
        <v>2646</v>
      </c>
      <c r="B610" s="2" t="s">
        <v>2647</v>
      </c>
      <c r="C610" s="2" t="s">
        <v>14</v>
      </c>
      <c r="D610" s="2" t="s">
        <v>15</v>
      </c>
      <c r="E610" s="2" t="s">
        <v>23</v>
      </c>
      <c r="F610" s="3">
        <f>+5492234515068</f>
        <v>5492234515068</v>
      </c>
      <c r="G610" s="2" t="s">
        <v>2648</v>
      </c>
      <c r="H610" s="2" t="s">
        <v>25</v>
      </c>
      <c r="I610" s="2" t="s">
        <v>649</v>
      </c>
      <c r="J610" s="2" t="s">
        <v>2649</v>
      </c>
      <c r="K610" s="4">
        <v>46134.0</v>
      </c>
      <c r="L610" s="2" t="s">
        <v>2650</v>
      </c>
    </row>
    <row r="611">
      <c r="A611" s="2" t="s">
        <v>2651</v>
      </c>
      <c r="B611" s="2" t="s">
        <v>2652</v>
      </c>
      <c r="C611" s="2" t="s">
        <v>14</v>
      </c>
      <c r="D611" s="2" t="s">
        <v>15</v>
      </c>
      <c r="E611" s="2" t="s">
        <v>23</v>
      </c>
      <c r="F611" s="3">
        <f>+5491159929866</f>
        <v>5491159929866</v>
      </c>
      <c r="G611" s="2" t="s">
        <v>2653</v>
      </c>
      <c r="H611" s="2" t="s">
        <v>25</v>
      </c>
      <c r="I611" s="2" t="s">
        <v>49</v>
      </c>
      <c r="J611" s="2" t="s">
        <v>178</v>
      </c>
      <c r="K611" s="4">
        <v>46134.0</v>
      </c>
      <c r="L611" s="2" t="s">
        <v>2654</v>
      </c>
    </row>
    <row r="612">
      <c r="A612" s="2" t="s">
        <v>2655</v>
      </c>
      <c r="B612" s="2" t="s">
        <v>2656</v>
      </c>
      <c r="C612" s="2" t="s">
        <v>14</v>
      </c>
      <c r="D612" s="2" t="s">
        <v>15</v>
      </c>
      <c r="E612" s="2" t="s">
        <v>23</v>
      </c>
      <c r="F612" s="3">
        <f>+5491123104783</f>
        <v>5491123104783</v>
      </c>
      <c r="G612" s="2" t="s">
        <v>2657</v>
      </c>
      <c r="H612" s="2" t="s">
        <v>25</v>
      </c>
      <c r="I612" s="2" t="s">
        <v>1920</v>
      </c>
      <c r="J612" s="2" t="s">
        <v>1920</v>
      </c>
      <c r="K612" s="4">
        <v>46134.0</v>
      </c>
      <c r="L612" s="2" t="s">
        <v>2658</v>
      </c>
    </row>
    <row r="613">
      <c r="A613" s="2" t="s">
        <v>2659</v>
      </c>
      <c r="B613" s="2" t="s">
        <v>2660</v>
      </c>
      <c r="C613" s="2" t="s">
        <v>14</v>
      </c>
      <c r="D613" s="2" t="s">
        <v>15</v>
      </c>
      <c r="E613" s="2" t="s">
        <v>23</v>
      </c>
      <c r="F613" s="3">
        <f>+5491171637658</f>
        <v>5491171637658</v>
      </c>
      <c r="G613" s="2" t="s">
        <v>2661</v>
      </c>
      <c r="H613" s="2" t="s">
        <v>25</v>
      </c>
      <c r="I613" s="2" t="s">
        <v>2662</v>
      </c>
      <c r="J613" s="2" t="s">
        <v>2662</v>
      </c>
      <c r="K613" s="4">
        <v>46134.0</v>
      </c>
      <c r="L613" s="2" t="s">
        <v>2663</v>
      </c>
    </row>
    <row r="614">
      <c r="A614" s="2" t="s">
        <v>2664</v>
      </c>
      <c r="B614" s="2" t="s">
        <v>2665</v>
      </c>
      <c r="C614" s="2" t="s">
        <v>14</v>
      </c>
      <c r="D614" s="2" t="s">
        <v>15</v>
      </c>
      <c r="E614" s="2" t="s">
        <v>23</v>
      </c>
      <c r="F614" s="3">
        <f>+5491177212021</f>
        <v>5491177212021</v>
      </c>
      <c r="G614" s="2" t="s">
        <v>2666</v>
      </c>
      <c r="H614" s="2" t="s">
        <v>25</v>
      </c>
      <c r="I614" s="2" t="s">
        <v>84</v>
      </c>
      <c r="J614" s="2" t="s">
        <v>2667</v>
      </c>
      <c r="K614" s="4">
        <v>46134.0</v>
      </c>
      <c r="L614" s="2" t="s">
        <v>2668</v>
      </c>
    </row>
    <row r="615">
      <c r="A615" s="2" t="s">
        <v>2669</v>
      </c>
      <c r="B615" s="2" t="s">
        <v>2670</v>
      </c>
      <c r="C615" s="2" t="s">
        <v>14</v>
      </c>
      <c r="D615" s="2" t="s">
        <v>15</v>
      </c>
      <c r="E615" s="2" t="s">
        <v>23</v>
      </c>
      <c r="F615" s="3">
        <f>+5491162323619</f>
        <v>5491162323619</v>
      </c>
      <c r="G615" s="2" t="s">
        <v>2671</v>
      </c>
      <c r="H615" s="2" t="s">
        <v>25</v>
      </c>
      <c r="I615" s="2" t="s">
        <v>38</v>
      </c>
      <c r="J615" s="2" t="s">
        <v>2672</v>
      </c>
      <c r="K615" s="4">
        <v>46134.0</v>
      </c>
      <c r="L615" s="2" t="s">
        <v>2673</v>
      </c>
    </row>
    <row r="616">
      <c r="A616" s="2" t="s">
        <v>2674</v>
      </c>
      <c r="B616" s="2" t="s">
        <v>2675</v>
      </c>
      <c r="C616" s="2" t="s">
        <v>14</v>
      </c>
      <c r="D616" s="2" t="s">
        <v>15</v>
      </c>
      <c r="E616" s="2" t="s">
        <v>23</v>
      </c>
      <c r="F616" s="3">
        <f>+5491153232962</f>
        <v>5491153232962</v>
      </c>
      <c r="G616" s="2" t="s">
        <v>2676</v>
      </c>
      <c r="H616" s="2" t="s">
        <v>32</v>
      </c>
      <c r="I616" s="2" t="s">
        <v>25</v>
      </c>
      <c r="J616" s="2" t="s">
        <v>926</v>
      </c>
      <c r="K616" s="4">
        <v>46134.0</v>
      </c>
      <c r="L616" s="2" t="s">
        <v>2677</v>
      </c>
    </row>
    <row r="617">
      <c r="A617" s="2" t="s">
        <v>2678</v>
      </c>
      <c r="B617" s="2" t="s">
        <v>2679</v>
      </c>
      <c r="C617" s="2" t="s">
        <v>14</v>
      </c>
      <c r="D617" s="2" t="s">
        <v>15</v>
      </c>
      <c r="E617" s="2" t="s">
        <v>23</v>
      </c>
      <c r="F617" s="3">
        <f>+5491140830754</f>
        <v>5491140830754</v>
      </c>
      <c r="G617" s="2" t="s">
        <v>2680</v>
      </c>
      <c r="H617" s="2" t="s">
        <v>25</v>
      </c>
      <c r="I617" s="2" t="s">
        <v>309</v>
      </c>
      <c r="J617" s="2" t="s">
        <v>2681</v>
      </c>
      <c r="K617" s="4">
        <v>46134.0</v>
      </c>
      <c r="L617" s="2" t="s">
        <v>2682</v>
      </c>
    </row>
    <row r="618">
      <c r="A618" s="2" t="s">
        <v>2683</v>
      </c>
      <c r="B618" s="2" t="s">
        <v>2684</v>
      </c>
      <c r="C618" s="2" t="s">
        <v>14</v>
      </c>
      <c r="D618" s="2" t="s">
        <v>15</v>
      </c>
      <c r="E618" s="2" t="s">
        <v>23</v>
      </c>
      <c r="F618" s="3">
        <f>+5491162222115</f>
        <v>5491162222115</v>
      </c>
      <c r="G618" s="2" t="s">
        <v>2685</v>
      </c>
      <c r="H618" s="2" t="s">
        <v>25</v>
      </c>
      <c r="I618" s="2" t="s">
        <v>49</v>
      </c>
      <c r="J618" s="2" t="s">
        <v>49</v>
      </c>
      <c r="K618" s="4">
        <v>46134.0</v>
      </c>
      <c r="L618" s="2" t="s">
        <v>2686</v>
      </c>
    </row>
    <row r="619">
      <c r="A619" s="2" t="s">
        <v>2687</v>
      </c>
      <c r="B619" s="2" t="s">
        <v>2688</v>
      </c>
      <c r="C619" s="2" t="s">
        <v>14</v>
      </c>
      <c r="D619" s="2" t="s">
        <v>15</v>
      </c>
      <c r="E619" s="2" t="s">
        <v>23</v>
      </c>
      <c r="F619" s="3">
        <f t="shared" ref="F619:F620" si="10">+5491153232962</f>
        <v>5491153232962</v>
      </c>
      <c r="G619" s="2" t="s">
        <v>2689</v>
      </c>
      <c r="H619" s="2" t="s">
        <v>32</v>
      </c>
      <c r="I619" s="2" t="s">
        <v>25</v>
      </c>
      <c r="J619" s="2" t="s">
        <v>948</v>
      </c>
      <c r="K619" s="4">
        <v>46134.0</v>
      </c>
      <c r="L619" s="2" t="s">
        <v>2690</v>
      </c>
    </row>
    <row r="620">
      <c r="A620" s="2" t="s">
        <v>2691</v>
      </c>
      <c r="B620" s="2" t="s">
        <v>2692</v>
      </c>
      <c r="C620" s="2" t="s">
        <v>14</v>
      </c>
      <c r="D620" s="2" t="s">
        <v>15</v>
      </c>
      <c r="E620" s="2" t="s">
        <v>23</v>
      </c>
      <c r="F620" s="3">
        <f t="shared" si="10"/>
        <v>5491153232962</v>
      </c>
      <c r="G620" s="2" t="s">
        <v>2693</v>
      </c>
      <c r="H620" s="2" t="s">
        <v>32</v>
      </c>
      <c r="I620" s="2" t="s">
        <v>25</v>
      </c>
      <c r="J620" s="2" t="s">
        <v>373</v>
      </c>
      <c r="K620" s="4">
        <v>46134.0</v>
      </c>
      <c r="L620" s="2" t="s">
        <v>2694</v>
      </c>
    </row>
    <row r="621">
      <c r="A621" s="2" t="s">
        <v>2695</v>
      </c>
      <c r="B621" s="2" t="s">
        <v>2696</v>
      </c>
      <c r="C621" s="2" t="s">
        <v>14</v>
      </c>
      <c r="D621" s="2" t="s">
        <v>15</v>
      </c>
      <c r="E621" s="2" t="s">
        <v>23</v>
      </c>
      <c r="F621" s="3">
        <f>+5491123391493</f>
        <v>5491123391493</v>
      </c>
      <c r="G621" s="2" t="s">
        <v>2697</v>
      </c>
      <c r="H621" s="2" t="s">
        <v>25</v>
      </c>
      <c r="I621" s="2" t="s">
        <v>26</v>
      </c>
      <c r="J621" s="2" t="s">
        <v>455</v>
      </c>
      <c r="K621" s="4">
        <v>46134.0</v>
      </c>
      <c r="L621" s="2" t="s">
        <v>2698</v>
      </c>
    </row>
    <row r="622">
      <c r="A622" s="2" t="s">
        <v>2699</v>
      </c>
      <c r="B622" s="2" t="s">
        <v>2700</v>
      </c>
      <c r="C622" s="2" t="s">
        <v>14</v>
      </c>
      <c r="D622" s="2" t="s">
        <v>15</v>
      </c>
      <c r="E622" s="2" t="s">
        <v>23</v>
      </c>
      <c r="F622" s="3">
        <f>+5493517736415</f>
        <v>5493517736415</v>
      </c>
      <c r="G622" s="2" t="s">
        <v>2701</v>
      </c>
      <c r="H622" s="2" t="s">
        <v>18</v>
      </c>
      <c r="I622" s="2" t="s">
        <v>589</v>
      </c>
      <c r="J622" s="2" t="s">
        <v>589</v>
      </c>
      <c r="K622" s="4">
        <v>46134.0</v>
      </c>
      <c r="L622" s="2" t="s">
        <v>2702</v>
      </c>
    </row>
    <row r="623">
      <c r="A623" s="2" t="s">
        <v>2703</v>
      </c>
      <c r="B623" s="2" t="s">
        <v>2704</v>
      </c>
      <c r="C623" s="2" t="s">
        <v>14</v>
      </c>
      <c r="D623" s="2" t="s">
        <v>15</v>
      </c>
      <c r="E623" s="2" t="s">
        <v>23</v>
      </c>
      <c r="F623" s="3">
        <f>+542914555261</f>
        <v>542914555261</v>
      </c>
      <c r="G623" s="2" t="s">
        <v>2705</v>
      </c>
      <c r="H623" s="2" t="s">
        <v>25</v>
      </c>
      <c r="I623" s="2" t="s">
        <v>841</v>
      </c>
      <c r="J623" s="2" t="s">
        <v>219</v>
      </c>
      <c r="K623" s="4">
        <v>46134.0</v>
      </c>
      <c r="L623" s="2" t="s">
        <v>2706</v>
      </c>
    </row>
    <row r="624">
      <c r="A624" s="2" t="s">
        <v>2707</v>
      </c>
      <c r="B624" s="2" t="s">
        <v>2708</v>
      </c>
      <c r="C624" s="2" t="s">
        <v>14</v>
      </c>
      <c r="D624" s="2" t="s">
        <v>15</v>
      </c>
      <c r="E624" s="2" t="s">
        <v>23</v>
      </c>
      <c r="F624" s="3">
        <f>+5491176084949</f>
        <v>5491176084949</v>
      </c>
      <c r="G624" s="2" t="s">
        <v>2709</v>
      </c>
      <c r="H624" s="2" t="s">
        <v>25</v>
      </c>
      <c r="I624" s="2" t="s">
        <v>309</v>
      </c>
      <c r="J624" s="2" t="s">
        <v>1449</v>
      </c>
      <c r="K624" s="4">
        <v>46134.0</v>
      </c>
      <c r="L624" s="2" t="s">
        <v>2710</v>
      </c>
    </row>
    <row r="625">
      <c r="A625" s="2" t="s">
        <v>2711</v>
      </c>
      <c r="B625" s="2" t="s">
        <v>2712</v>
      </c>
      <c r="C625" s="2" t="s">
        <v>14</v>
      </c>
      <c r="D625" s="2" t="s">
        <v>15</v>
      </c>
      <c r="E625" s="2" t="s">
        <v>23</v>
      </c>
      <c r="F625" s="3">
        <f>+5491173640500</f>
        <v>5491173640500</v>
      </c>
      <c r="G625" s="2" t="s">
        <v>2713</v>
      </c>
      <c r="H625" s="2" t="s">
        <v>25</v>
      </c>
      <c r="I625" s="2" t="s">
        <v>1920</v>
      </c>
      <c r="J625" s="2" t="s">
        <v>2714</v>
      </c>
      <c r="K625" s="4">
        <v>46134.0</v>
      </c>
      <c r="L625" s="2" t="s">
        <v>2715</v>
      </c>
    </row>
    <row r="626">
      <c r="A626" s="2" t="s">
        <v>2716</v>
      </c>
      <c r="B626" s="2" t="s">
        <v>2717</v>
      </c>
      <c r="C626" s="2" t="s">
        <v>14</v>
      </c>
      <c r="D626" s="2" t="s">
        <v>15</v>
      </c>
      <c r="E626" s="2" t="s">
        <v>23</v>
      </c>
      <c r="F626" s="3">
        <f>+5491175547566</f>
        <v>5491175547566</v>
      </c>
      <c r="G626" s="2" t="s">
        <v>2718</v>
      </c>
      <c r="H626" s="2" t="s">
        <v>25</v>
      </c>
      <c r="I626" s="2" t="s">
        <v>26</v>
      </c>
      <c r="J626" s="2" t="s">
        <v>2215</v>
      </c>
      <c r="K626" s="4">
        <v>46134.0</v>
      </c>
      <c r="L626" s="2" t="s">
        <v>2719</v>
      </c>
    </row>
    <row r="627">
      <c r="A627" s="2" t="s">
        <v>2720</v>
      </c>
      <c r="B627" s="2" t="s">
        <v>2721</v>
      </c>
      <c r="C627" s="2" t="s">
        <v>14</v>
      </c>
      <c r="D627" s="2" t="s">
        <v>15</v>
      </c>
      <c r="E627" s="2" t="s">
        <v>23</v>
      </c>
      <c r="F627" s="3">
        <f>+541135633682</f>
        <v>541135633682</v>
      </c>
      <c r="G627" s="2" t="s">
        <v>2722</v>
      </c>
      <c r="H627" s="2" t="s">
        <v>25</v>
      </c>
      <c r="I627" s="2" t="s">
        <v>309</v>
      </c>
      <c r="J627" s="2" t="s">
        <v>309</v>
      </c>
      <c r="K627" s="4">
        <v>46134.0</v>
      </c>
      <c r="L627" s="2" t="s">
        <v>2723</v>
      </c>
    </row>
    <row r="628">
      <c r="A628" s="2" t="s">
        <v>2724</v>
      </c>
      <c r="B628" s="2" t="s">
        <v>2725</v>
      </c>
      <c r="C628" s="2" t="s">
        <v>14</v>
      </c>
      <c r="D628" s="2" t="s">
        <v>15</v>
      </c>
      <c r="E628" s="2" t="s">
        <v>23</v>
      </c>
      <c r="F628" s="3">
        <f>+5491167604607</f>
        <v>5491167604607</v>
      </c>
      <c r="G628" s="2" t="s">
        <v>2726</v>
      </c>
      <c r="H628" s="2" t="s">
        <v>25</v>
      </c>
      <c r="I628" s="2" t="s">
        <v>236</v>
      </c>
      <c r="J628" s="2" t="s">
        <v>236</v>
      </c>
      <c r="K628" s="4">
        <v>46134.0</v>
      </c>
      <c r="L628" s="2" t="s">
        <v>2727</v>
      </c>
    </row>
    <row r="629">
      <c r="A629" s="2" t="s">
        <v>2728</v>
      </c>
      <c r="B629" s="2" t="s">
        <v>2729</v>
      </c>
      <c r="C629" s="2" t="s">
        <v>14</v>
      </c>
      <c r="D629" s="2" t="s">
        <v>15</v>
      </c>
      <c r="E629" s="2" t="s">
        <v>23</v>
      </c>
      <c r="F629" s="3">
        <f>+5491158812064</f>
        <v>5491158812064</v>
      </c>
      <c r="G629" s="2" t="s">
        <v>2730</v>
      </c>
      <c r="H629" s="2" t="s">
        <v>25</v>
      </c>
      <c r="I629" s="2" t="s">
        <v>26</v>
      </c>
      <c r="J629" s="2" t="s">
        <v>2731</v>
      </c>
      <c r="K629" s="4">
        <v>46134.0</v>
      </c>
      <c r="L629" s="2" t="s">
        <v>2732</v>
      </c>
    </row>
    <row r="630">
      <c r="A630" s="2" t="s">
        <v>2733</v>
      </c>
      <c r="B630" s="2" t="s">
        <v>2734</v>
      </c>
      <c r="C630" s="2" t="s">
        <v>14</v>
      </c>
      <c r="D630" s="2" t="s">
        <v>15</v>
      </c>
      <c r="E630" s="2" t="s">
        <v>23</v>
      </c>
      <c r="F630" s="3">
        <f>+5493512222625</f>
        <v>5493512222625</v>
      </c>
      <c r="G630" s="2" t="s">
        <v>2735</v>
      </c>
      <c r="H630" s="2" t="s">
        <v>18</v>
      </c>
      <c r="I630" s="2" t="s">
        <v>18</v>
      </c>
      <c r="J630" s="2" t="s">
        <v>2736</v>
      </c>
      <c r="K630" s="4">
        <v>46134.0</v>
      </c>
      <c r="L630" s="2" t="s">
        <v>2737</v>
      </c>
    </row>
    <row r="631">
      <c r="A631" s="2" t="s">
        <v>2738</v>
      </c>
      <c r="B631" s="2" t="s">
        <v>2739</v>
      </c>
      <c r="C631" s="2" t="s">
        <v>14</v>
      </c>
      <c r="D631" s="2" t="s">
        <v>15</v>
      </c>
      <c r="E631" s="2" t="s">
        <v>23</v>
      </c>
      <c r="F631" s="3">
        <f>+5492615455842</f>
        <v>5492615455842</v>
      </c>
      <c r="G631" s="2" t="s">
        <v>2740</v>
      </c>
      <c r="H631" s="2" t="s">
        <v>71</v>
      </c>
      <c r="I631" s="2" t="s">
        <v>1625</v>
      </c>
      <c r="J631" s="2" t="s">
        <v>2160</v>
      </c>
      <c r="K631" s="4">
        <v>46134.0</v>
      </c>
      <c r="L631" s="2" t="s">
        <v>2741</v>
      </c>
    </row>
    <row r="632">
      <c r="A632" s="2" t="s">
        <v>2742</v>
      </c>
      <c r="B632" s="2" t="s">
        <v>2743</v>
      </c>
      <c r="C632" s="2" t="s">
        <v>14</v>
      </c>
      <c r="D632" s="2" t="s">
        <v>15</v>
      </c>
      <c r="E632" s="2" t="s">
        <v>23</v>
      </c>
      <c r="F632" s="3">
        <f>+5492215855768</f>
        <v>5492215855768</v>
      </c>
      <c r="G632" s="2" t="s">
        <v>2744</v>
      </c>
      <c r="H632" s="2" t="s">
        <v>25</v>
      </c>
      <c r="I632" s="2" t="s">
        <v>44</v>
      </c>
      <c r="J632" s="2" t="s">
        <v>2745</v>
      </c>
      <c r="K632" s="4">
        <v>46134.0</v>
      </c>
      <c r="L632" s="2" t="s">
        <v>2746</v>
      </c>
    </row>
    <row r="633">
      <c r="A633" s="2" t="s">
        <v>2747</v>
      </c>
      <c r="B633" s="2" t="s">
        <v>2748</v>
      </c>
      <c r="C633" s="2" t="s">
        <v>14</v>
      </c>
      <c r="D633" s="2" t="s">
        <v>15</v>
      </c>
      <c r="E633" s="2" t="s">
        <v>23</v>
      </c>
      <c r="F633" s="3">
        <f>+5491136527613</f>
        <v>5491136527613</v>
      </c>
      <c r="G633" s="2" t="s">
        <v>2749</v>
      </c>
      <c r="H633" s="2" t="s">
        <v>25</v>
      </c>
      <c r="I633" s="2" t="s">
        <v>49</v>
      </c>
      <c r="J633" s="2" t="s">
        <v>178</v>
      </c>
      <c r="K633" s="4">
        <v>46134.0</v>
      </c>
      <c r="L633" s="2" t="s">
        <v>2750</v>
      </c>
    </row>
    <row r="634">
      <c r="A634" s="2" t="s">
        <v>2751</v>
      </c>
      <c r="B634" s="2" t="s">
        <v>2752</v>
      </c>
      <c r="C634" s="2" t="s">
        <v>14</v>
      </c>
      <c r="D634" s="2" t="s">
        <v>15</v>
      </c>
      <c r="E634" s="2" t="s">
        <v>23</v>
      </c>
      <c r="F634" s="3">
        <f>+5491152496599</f>
        <v>5491152496599</v>
      </c>
      <c r="G634" s="2" t="s">
        <v>2753</v>
      </c>
      <c r="H634" s="2" t="s">
        <v>25</v>
      </c>
      <c r="I634" s="2" t="s">
        <v>314</v>
      </c>
      <c r="J634" s="2" t="s">
        <v>814</v>
      </c>
      <c r="K634" s="4">
        <v>46134.0</v>
      </c>
      <c r="L634" s="2" t="s">
        <v>2754</v>
      </c>
    </row>
    <row r="635">
      <c r="A635" s="2" t="s">
        <v>2755</v>
      </c>
      <c r="B635" s="2" t="s">
        <v>2756</v>
      </c>
      <c r="C635" s="2" t="s">
        <v>1150</v>
      </c>
      <c r="D635" s="2" t="s">
        <v>15</v>
      </c>
      <c r="E635" s="2" t="s">
        <v>23</v>
      </c>
      <c r="F635" s="3">
        <f>+5491111111111</f>
        <v>5491111111111</v>
      </c>
      <c r="G635" s="2" t="s">
        <v>2757</v>
      </c>
      <c r="H635" s="2" t="s">
        <v>25</v>
      </c>
      <c r="I635" s="2" t="s">
        <v>49</v>
      </c>
      <c r="J635" s="2" t="s">
        <v>2031</v>
      </c>
      <c r="K635" s="4">
        <v>46134.0</v>
      </c>
      <c r="L635" s="2" t="s">
        <v>2758</v>
      </c>
    </row>
    <row r="636">
      <c r="A636" s="2" t="s">
        <v>2759</v>
      </c>
      <c r="B636" s="2" t="s">
        <v>2760</v>
      </c>
      <c r="C636" s="2" t="s">
        <v>14</v>
      </c>
      <c r="D636" s="2" t="s">
        <v>15</v>
      </c>
      <c r="E636" s="2" t="s">
        <v>23</v>
      </c>
      <c r="F636" s="3">
        <f>+5493541225040</f>
        <v>5493541225040</v>
      </c>
      <c r="G636" s="2" t="s">
        <v>2761</v>
      </c>
      <c r="H636" s="2" t="s">
        <v>18</v>
      </c>
      <c r="I636" s="2" t="s">
        <v>535</v>
      </c>
      <c r="J636" s="2" t="s">
        <v>630</v>
      </c>
      <c r="K636" s="4">
        <v>46134.0</v>
      </c>
      <c r="L636" s="2" t="s">
        <v>2762</v>
      </c>
    </row>
    <row r="637">
      <c r="A637" s="2" t="s">
        <v>2763</v>
      </c>
      <c r="B637" s="2" t="s">
        <v>2764</v>
      </c>
      <c r="C637" s="2" t="s">
        <v>14</v>
      </c>
      <c r="D637" s="2" t="s">
        <v>15</v>
      </c>
      <c r="E637" s="2" t="s">
        <v>16</v>
      </c>
      <c r="F637" s="3">
        <f>+5491135072817</f>
        <v>5491135072817</v>
      </c>
      <c r="G637" s="2" t="s">
        <v>2765</v>
      </c>
      <c r="H637" s="2" t="s">
        <v>25</v>
      </c>
      <c r="I637" s="2" t="s">
        <v>957</v>
      </c>
      <c r="J637" s="2" t="s">
        <v>957</v>
      </c>
      <c r="K637" s="4">
        <v>46134.0</v>
      </c>
      <c r="L637" s="2" t="s">
        <v>2766</v>
      </c>
    </row>
    <row r="638">
      <c r="A638" s="2" t="s">
        <v>2767</v>
      </c>
      <c r="B638" s="2" t="s">
        <v>2768</v>
      </c>
      <c r="C638" s="2" t="s">
        <v>14</v>
      </c>
      <c r="D638" s="2" t="s">
        <v>15</v>
      </c>
      <c r="E638" s="2" t="s">
        <v>23</v>
      </c>
      <c r="F638" s="3">
        <f>+5491137719972</f>
        <v>5491137719972</v>
      </c>
      <c r="G638" s="2" t="s">
        <v>2769</v>
      </c>
      <c r="H638" s="2" t="s">
        <v>32</v>
      </c>
      <c r="I638" s="2" t="s">
        <v>25</v>
      </c>
      <c r="J638" s="2" t="s">
        <v>33</v>
      </c>
      <c r="K638" s="4">
        <v>46134.0</v>
      </c>
      <c r="L638" s="2" t="s">
        <v>2770</v>
      </c>
    </row>
    <row r="639">
      <c r="A639" s="2" t="s">
        <v>2771</v>
      </c>
      <c r="B639" s="2" t="s">
        <v>2772</v>
      </c>
      <c r="C639" s="2" t="s">
        <v>14</v>
      </c>
      <c r="D639" s="2" t="s">
        <v>15</v>
      </c>
      <c r="E639" s="2" t="s">
        <v>23</v>
      </c>
      <c r="F639" s="3">
        <f>+5491152496599</f>
        <v>5491152496599</v>
      </c>
      <c r="G639" s="2" t="s">
        <v>2773</v>
      </c>
      <c r="H639" s="2" t="s">
        <v>25</v>
      </c>
      <c r="I639" s="2" t="s">
        <v>314</v>
      </c>
      <c r="J639" s="2" t="s">
        <v>2774</v>
      </c>
      <c r="K639" s="4">
        <v>46134.0</v>
      </c>
      <c r="L639" s="2" t="s">
        <v>2775</v>
      </c>
    </row>
    <row r="640">
      <c r="A640" s="2" t="s">
        <v>2776</v>
      </c>
      <c r="B640" s="2" t="s">
        <v>2777</v>
      </c>
      <c r="C640" s="2" t="s">
        <v>14</v>
      </c>
      <c r="D640" s="2" t="s">
        <v>15</v>
      </c>
      <c r="E640" s="2" t="s">
        <v>23</v>
      </c>
      <c r="F640" s="3">
        <f>+5491159038664</f>
        <v>5491159038664</v>
      </c>
      <c r="G640" s="2" t="s">
        <v>2778</v>
      </c>
      <c r="H640" s="2" t="s">
        <v>32</v>
      </c>
      <c r="I640" s="2" t="s">
        <v>25</v>
      </c>
      <c r="J640" s="2" t="s">
        <v>143</v>
      </c>
      <c r="K640" s="4">
        <v>46134.0</v>
      </c>
      <c r="L640" s="2" t="s">
        <v>2779</v>
      </c>
    </row>
    <row r="641">
      <c r="A641" s="2" t="s">
        <v>2780</v>
      </c>
      <c r="B641" s="2" t="s">
        <v>2781</v>
      </c>
      <c r="C641" s="2" t="s">
        <v>14</v>
      </c>
      <c r="D641" s="2" t="s">
        <v>15</v>
      </c>
      <c r="E641" s="2" t="s">
        <v>23</v>
      </c>
      <c r="F641" s="3">
        <f>+5491124017633</f>
        <v>5491124017633</v>
      </c>
      <c r="G641" s="2" t="s">
        <v>2782</v>
      </c>
      <c r="H641" s="2" t="s">
        <v>25</v>
      </c>
      <c r="I641" s="2" t="s">
        <v>1920</v>
      </c>
      <c r="J641" s="2" t="s">
        <v>1920</v>
      </c>
      <c r="K641" s="4">
        <v>46134.0</v>
      </c>
      <c r="L641" s="2" t="s">
        <v>2783</v>
      </c>
    </row>
    <row r="642">
      <c r="A642" s="2" t="s">
        <v>2784</v>
      </c>
      <c r="B642" s="2" t="s">
        <v>2785</v>
      </c>
      <c r="C642" s="2" t="s">
        <v>14</v>
      </c>
      <c r="D642" s="2" t="s">
        <v>15</v>
      </c>
      <c r="E642" s="2" t="s">
        <v>23</v>
      </c>
      <c r="F642" s="3">
        <f>+5492234238243</f>
        <v>5492234238243</v>
      </c>
      <c r="G642" s="2" t="s">
        <v>2786</v>
      </c>
      <c r="H642" s="2" t="s">
        <v>25</v>
      </c>
      <c r="I642" s="2" t="s">
        <v>649</v>
      </c>
      <c r="J642" s="2" t="s">
        <v>659</v>
      </c>
      <c r="K642" s="4">
        <v>46134.0</v>
      </c>
      <c r="L642" s="2" t="s">
        <v>2787</v>
      </c>
    </row>
    <row r="643">
      <c r="A643" s="2" t="s">
        <v>2788</v>
      </c>
      <c r="B643" s="2" t="s">
        <v>2789</v>
      </c>
      <c r="C643" s="2" t="s">
        <v>14</v>
      </c>
      <c r="D643" s="2" t="s">
        <v>15</v>
      </c>
      <c r="E643" s="2" t="s">
        <v>23</v>
      </c>
      <c r="F643" s="3">
        <f>+5491137963947</f>
        <v>5491137963947</v>
      </c>
      <c r="G643" s="2" t="s">
        <v>2790</v>
      </c>
      <c r="H643" s="2" t="s">
        <v>25</v>
      </c>
      <c r="I643" s="2" t="s">
        <v>481</v>
      </c>
      <c r="J643" s="2" t="s">
        <v>481</v>
      </c>
      <c r="K643" s="4">
        <v>46134.0</v>
      </c>
      <c r="L643" s="2" t="s">
        <v>2791</v>
      </c>
    </row>
    <row r="644">
      <c r="A644" s="2" t="s">
        <v>2792</v>
      </c>
      <c r="B644" s="2" t="s">
        <v>2793</v>
      </c>
      <c r="C644" s="2" t="s">
        <v>14</v>
      </c>
      <c r="D644" s="2" t="s">
        <v>15</v>
      </c>
      <c r="E644" s="2" t="s">
        <v>23</v>
      </c>
      <c r="F644" s="3">
        <f>+5491136592521</f>
        <v>5491136592521</v>
      </c>
      <c r="G644" s="2" t="s">
        <v>2794</v>
      </c>
      <c r="H644" s="2" t="s">
        <v>25</v>
      </c>
      <c r="I644" s="2" t="s">
        <v>84</v>
      </c>
      <c r="J644" s="2" t="s">
        <v>1699</v>
      </c>
      <c r="K644" s="4">
        <v>46134.0</v>
      </c>
      <c r="L644" s="2" t="s">
        <v>2795</v>
      </c>
    </row>
    <row r="645">
      <c r="A645" s="2" t="s">
        <v>2796</v>
      </c>
      <c r="B645" s="2" t="s">
        <v>2797</v>
      </c>
      <c r="C645" s="2" t="s">
        <v>14</v>
      </c>
      <c r="D645" s="2" t="s">
        <v>15</v>
      </c>
      <c r="E645" s="2" t="s">
        <v>23</v>
      </c>
      <c r="F645" s="3">
        <f>+5491153232962</f>
        <v>5491153232962</v>
      </c>
      <c r="G645" s="2" t="s">
        <v>2798</v>
      </c>
      <c r="H645" s="2" t="s">
        <v>32</v>
      </c>
      <c r="I645" s="2" t="s">
        <v>25</v>
      </c>
      <c r="J645" s="2" t="s">
        <v>143</v>
      </c>
      <c r="K645" s="4">
        <v>46134.0</v>
      </c>
      <c r="L645" s="2" t="s">
        <v>2799</v>
      </c>
    </row>
    <row r="646">
      <c r="A646" s="2" t="s">
        <v>2800</v>
      </c>
      <c r="B646" s="2" t="s">
        <v>2801</v>
      </c>
      <c r="C646" s="2" t="s">
        <v>14</v>
      </c>
      <c r="D646" s="2" t="s">
        <v>15</v>
      </c>
      <c r="E646" s="2" t="s">
        <v>23</v>
      </c>
      <c r="F646" s="3">
        <f>+5492236239775</f>
        <v>5492236239775</v>
      </c>
      <c r="G646" s="2" t="s">
        <v>2802</v>
      </c>
      <c r="H646" s="2" t="s">
        <v>25</v>
      </c>
      <c r="I646" s="2" t="s">
        <v>649</v>
      </c>
      <c r="J646" s="2" t="s">
        <v>2803</v>
      </c>
      <c r="K646" s="4">
        <v>46134.0</v>
      </c>
      <c r="L646" s="2" t="s">
        <v>2804</v>
      </c>
    </row>
    <row r="647">
      <c r="A647" s="2" t="s">
        <v>2805</v>
      </c>
      <c r="B647" s="2" t="s">
        <v>2806</v>
      </c>
      <c r="C647" s="2" t="s">
        <v>14</v>
      </c>
      <c r="D647" s="2" t="s">
        <v>15</v>
      </c>
      <c r="E647" s="2" t="s">
        <v>23</v>
      </c>
      <c r="F647" s="3">
        <f>+5493515916766</f>
        <v>5493515916766</v>
      </c>
      <c r="G647" s="2" t="s">
        <v>2807</v>
      </c>
      <c r="H647" s="2" t="s">
        <v>18</v>
      </c>
      <c r="I647" s="2" t="s">
        <v>18</v>
      </c>
      <c r="J647" s="2" t="s">
        <v>2808</v>
      </c>
      <c r="K647" s="4">
        <v>46134.0</v>
      </c>
      <c r="L647" s="2" t="s">
        <v>2809</v>
      </c>
    </row>
    <row r="648">
      <c r="A648" s="2" t="s">
        <v>2810</v>
      </c>
      <c r="B648" s="2" t="s">
        <v>2811</v>
      </c>
      <c r="C648" s="2" t="s">
        <v>14</v>
      </c>
      <c r="D648" s="2" t="s">
        <v>15</v>
      </c>
      <c r="E648" s="2" t="s">
        <v>16</v>
      </c>
      <c r="F648" s="3">
        <f>+5491158971470</f>
        <v>5491158971470</v>
      </c>
      <c r="G648" s="2" t="s">
        <v>2812</v>
      </c>
      <c r="H648" s="2" t="s">
        <v>32</v>
      </c>
      <c r="I648" s="2" t="s">
        <v>25</v>
      </c>
      <c r="J648" s="2" t="s">
        <v>559</v>
      </c>
      <c r="K648" s="4">
        <v>46134.0</v>
      </c>
      <c r="L648" s="2" t="s">
        <v>2637</v>
      </c>
    </row>
    <row r="649">
      <c r="A649" s="2" t="s">
        <v>2813</v>
      </c>
      <c r="B649" s="2" t="s">
        <v>2814</v>
      </c>
      <c r="C649" s="2" t="s">
        <v>14</v>
      </c>
      <c r="D649" s="2" t="s">
        <v>15</v>
      </c>
      <c r="E649" s="2" t="s">
        <v>23</v>
      </c>
      <c r="F649" s="3">
        <f>+5491126588951</f>
        <v>5491126588951</v>
      </c>
      <c r="G649" s="2" t="s">
        <v>2815</v>
      </c>
      <c r="H649" s="2" t="s">
        <v>32</v>
      </c>
      <c r="I649" s="2" t="s">
        <v>25</v>
      </c>
      <c r="J649" s="2" t="s">
        <v>559</v>
      </c>
      <c r="K649" s="4">
        <v>46134.0</v>
      </c>
      <c r="L649" s="2" t="s">
        <v>2816</v>
      </c>
    </row>
    <row r="650">
      <c r="A650" s="2" t="s">
        <v>2817</v>
      </c>
      <c r="B650" s="2" t="s">
        <v>2818</v>
      </c>
      <c r="C650" s="2" t="s">
        <v>14</v>
      </c>
      <c r="D650" s="2" t="s">
        <v>15</v>
      </c>
      <c r="E650" s="2" t="s">
        <v>23</v>
      </c>
      <c r="F650" s="3">
        <f>+5493413704648</f>
        <v>5493413704648</v>
      </c>
      <c r="G650" s="2" t="s">
        <v>2819</v>
      </c>
      <c r="H650" s="2" t="s">
        <v>65</v>
      </c>
      <c r="I650" s="2" t="s">
        <v>218</v>
      </c>
      <c r="J650" s="2" t="s">
        <v>2820</v>
      </c>
      <c r="K650" s="4">
        <v>46134.0</v>
      </c>
      <c r="L650" s="2" t="s">
        <v>2821</v>
      </c>
    </row>
    <row r="651">
      <c r="A651" s="2" t="s">
        <v>2822</v>
      </c>
      <c r="B651" s="2" t="s">
        <v>2823</v>
      </c>
      <c r="C651" s="2" t="s">
        <v>14</v>
      </c>
      <c r="D651" s="2" t="s">
        <v>15</v>
      </c>
      <c r="E651" s="2" t="s">
        <v>23</v>
      </c>
      <c r="F651" s="3">
        <f>+5491172350065</f>
        <v>5491172350065</v>
      </c>
      <c r="G651" s="2" t="s">
        <v>2824</v>
      </c>
      <c r="H651" s="2" t="s">
        <v>32</v>
      </c>
      <c r="I651" s="2" t="s">
        <v>25</v>
      </c>
      <c r="J651" s="2" t="s">
        <v>2825</v>
      </c>
      <c r="K651" s="4">
        <v>46134.0</v>
      </c>
      <c r="L651" s="2" t="s">
        <v>2826</v>
      </c>
    </row>
    <row r="652">
      <c r="A652" s="2" t="s">
        <v>2827</v>
      </c>
      <c r="B652" s="2" t="s">
        <v>2828</v>
      </c>
      <c r="C652" s="2" t="s">
        <v>14</v>
      </c>
      <c r="D652" s="2" t="s">
        <v>15</v>
      </c>
      <c r="E652" s="2" t="s">
        <v>23</v>
      </c>
      <c r="F652" s="3">
        <f>+5491159742887</f>
        <v>5491159742887</v>
      </c>
      <c r="G652" s="2" t="s">
        <v>2829</v>
      </c>
      <c r="H652" s="2" t="s">
        <v>25</v>
      </c>
      <c r="I652" s="2" t="s">
        <v>550</v>
      </c>
      <c r="J652" s="2" t="s">
        <v>688</v>
      </c>
      <c r="K652" s="4">
        <v>46134.0</v>
      </c>
      <c r="L652" s="2" t="s">
        <v>2830</v>
      </c>
    </row>
    <row r="653">
      <c r="A653" s="2" t="s">
        <v>2831</v>
      </c>
      <c r="B653" s="2" t="s">
        <v>2832</v>
      </c>
      <c r="C653" s="2" t="s">
        <v>14</v>
      </c>
      <c r="D653" s="2" t="s">
        <v>15</v>
      </c>
      <c r="E653" s="2" t="s">
        <v>23</v>
      </c>
      <c r="F653" s="3">
        <f>+5491123855687</f>
        <v>5491123855687</v>
      </c>
      <c r="G653" s="2" t="s">
        <v>2833</v>
      </c>
      <c r="H653" s="2" t="s">
        <v>25</v>
      </c>
      <c r="I653" s="2" t="s">
        <v>957</v>
      </c>
      <c r="J653" s="2" t="s">
        <v>1475</v>
      </c>
      <c r="K653" s="4">
        <v>46134.0</v>
      </c>
      <c r="L653" s="2" t="s">
        <v>2834</v>
      </c>
    </row>
    <row r="654">
      <c r="A654" s="2" t="s">
        <v>2835</v>
      </c>
      <c r="B654" s="2" t="s">
        <v>2836</v>
      </c>
      <c r="C654" s="2" t="s">
        <v>14</v>
      </c>
      <c r="D654" s="2" t="s">
        <v>15</v>
      </c>
      <c r="E654" s="2" t="s">
        <v>16</v>
      </c>
      <c r="F654" s="3">
        <f>+5491154634088</f>
        <v>5491154634088</v>
      </c>
      <c r="G654" s="2" t="s">
        <v>2837</v>
      </c>
      <c r="H654" s="2" t="s">
        <v>25</v>
      </c>
      <c r="I654" s="2" t="s">
        <v>84</v>
      </c>
      <c r="J654" s="2" t="s">
        <v>1699</v>
      </c>
      <c r="K654" s="4">
        <v>46133.0</v>
      </c>
      <c r="L654" s="2" t="s">
        <v>2838</v>
      </c>
    </row>
    <row r="655">
      <c r="A655" s="2" t="s">
        <v>2839</v>
      </c>
      <c r="B655" s="2" t="s">
        <v>2840</v>
      </c>
      <c r="C655" s="2" t="s">
        <v>14</v>
      </c>
      <c r="D655" s="2" t="s">
        <v>15</v>
      </c>
      <c r="E655" s="2" t="s">
        <v>16</v>
      </c>
      <c r="F655" s="3">
        <f>+5491111111111</f>
        <v>5491111111111</v>
      </c>
      <c r="G655" s="2" t="s">
        <v>2841</v>
      </c>
      <c r="H655" s="2" t="s">
        <v>32</v>
      </c>
      <c r="I655" s="2" t="s">
        <v>25</v>
      </c>
      <c r="J655" s="2" t="s">
        <v>846</v>
      </c>
      <c r="K655" s="4">
        <v>46133.0</v>
      </c>
      <c r="L655" s="2" t="s">
        <v>2842</v>
      </c>
    </row>
    <row r="656">
      <c r="A656" s="2" t="s">
        <v>2843</v>
      </c>
      <c r="B656" s="2" t="s">
        <v>2844</v>
      </c>
      <c r="C656" s="2" t="s">
        <v>14</v>
      </c>
      <c r="D656" s="2" t="s">
        <v>15</v>
      </c>
      <c r="E656" s="2" t="s">
        <v>23</v>
      </c>
      <c r="F656" s="3">
        <f>+5491132051336</f>
        <v>5491132051336</v>
      </c>
      <c r="G656" s="2" t="s">
        <v>2845</v>
      </c>
      <c r="H656" s="2" t="s">
        <v>25</v>
      </c>
      <c r="I656" s="2" t="s">
        <v>78</v>
      </c>
      <c r="J656" s="2" t="s">
        <v>78</v>
      </c>
      <c r="K656" s="4">
        <v>46133.0</v>
      </c>
      <c r="L656" s="2" t="s">
        <v>2846</v>
      </c>
    </row>
    <row r="657">
      <c r="A657" s="2" t="s">
        <v>2847</v>
      </c>
      <c r="B657" s="2" t="s">
        <v>2848</v>
      </c>
      <c r="C657" s="2" t="s">
        <v>14</v>
      </c>
      <c r="D657" s="2" t="s">
        <v>15</v>
      </c>
      <c r="E657" s="2" t="s">
        <v>23</v>
      </c>
      <c r="F657" s="3">
        <f>+5492235238856</f>
        <v>5492235238856</v>
      </c>
      <c r="G657" s="2" t="s">
        <v>2849</v>
      </c>
      <c r="H657" s="2" t="s">
        <v>25</v>
      </c>
      <c r="I657" s="2" t="s">
        <v>649</v>
      </c>
      <c r="J657" s="2" t="s">
        <v>659</v>
      </c>
      <c r="K657" s="4">
        <v>46133.0</v>
      </c>
      <c r="L657" s="2" t="s">
        <v>2850</v>
      </c>
    </row>
    <row r="658">
      <c r="A658" s="2" t="s">
        <v>2851</v>
      </c>
      <c r="B658" s="2" t="s">
        <v>2852</v>
      </c>
      <c r="C658" s="2" t="s">
        <v>14</v>
      </c>
      <c r="D658" s="2" t="s">
        <v>15</v>
      </c>
      <c r="E658" s="2" t="s">
        <v>16</v>
      </c>
      <c r="F658" s="3">
        <f>+5491111111111</f>
        <v>5491111111111</v>
      </c>
      <c r="G658" s="2" t="s">
        <v>2853</v>
      </c>
      <c r="H658" s="2" t="s">
        <v>55</v>
      </c>
      <c r="I658" s="2" t="s">
        <v>56</v>
      </c>
      <c r="J658" s="2" t="s">
        <v>56</v>
      </c>
      <c r="K658" s="4">
        <v>46133.0</v>
      </c>
      <c r="L658" s="2" t="s">
        <v>2854</v>
      </c>
    </row>
    <row r="659">
      <c r="A659" s="2" t="s">
        <v>2855</v>
      </c>
      <c r="B659" s="2" t="s">
        <v>2856</v>
      </c>
      <c r="C659" s="2" t="s">
        <v>14</v>
      </c>
      <c r="D659" s="2" t="s">
        <v>15</v>
      </c>
      <c r="E659" s="2" t="s">
        <v>23</v>
      </c>
      <c r="F659" s="3">
        <f>+5491170587285</f>
        <v>5491170587285</v>
      </c>
      <c r="G659" s="2" t="s">
        <v>2857</v>
      </c>
      <c r="H659" s="2" t="s">
        <v>32</v>
      </c>
      <c r="I659" s="2" t="s">
        <v>25</v>
      </c>
      <c r="J659" s="2" t="s">
        <v>373</v>
      </c>
      <c r="K659" s="4">
        <v>46133.0</v>
      </c>
      <c r="L659" s="2" t="s">
        <v>2858</v>
      </c>
    </row>
    <row r="660">
      <c r="A660" s="2" t="s">
        <v>2859</v>
      </c>
      <c r="B660" s="2" t="s">
        <v>2860</v>
      </c>
      <c r="C660" s="2" t="s">
        <v>14</v>
      </c>
      <c r="D660" s="2" t="s">
        <v>15</v>
      </c>
      <c r="E660" s="2" t="s">
        <v>23</v>
      </c>
      <c r="F660" s="3">
        <f>+5493513461308</f>
        <v>5493513461308</v>
      </c>
      <c r="G660" s="2" t="s">
        <v>2861</v>
      </c>
      <c r="H660" s="2" t="s">
        <v>18</v>
      </c>
      <c r="I660" s="2" t="s">
        <v>18</v>
      </c>
      <c r="J660" s="2" t="s">
        <v>2862</v>
      </c>
      <c r="K660" s="4">
        <v>46133.0</v>
      </c>
      <c r="L660" s="2" t="s">
        <v>2863</v>
      </c>
    </row>
    <row r="661">
      <c r="A661" s="2" t="s">
        <v>2864</v>
      </c>
      <c r="B661" s="2" t="s">
        <v>2865</v>
      </c>
      <c r="C661" s="2" t="s">
        <v>14</v>
      </c>
      <c r="D661" s="2" t="s">
        <v>15</v>
      </c>
      <c r="E661" s="2" t="s">
        <v>16</v>
      </c>
      <c r="F661" s="3">
        <f>+5492236927655</f>
        <v>5492236927655</v>
      </c>
      <c r="G661" s="2" t="s">
        <v>2866</v>
      </c>
      <c r="H661" s="2" t="s">
        <v>25</v>
      </c>
      <c r="I661" s="2" t="s">
        <v>649</v>
      </c>
      <c r="J661" s="2" t="s">
        <v>650</v>
      </c>
      <c r="K661" s="4">
        <v>46133.0</v>
      </c>
      <c r="L661" s="2" t="s">
        <v>2867</v>
      </c>
    </row>
    <row r="662">
      <c r="A662" s="2" t="s">
        <v>2868</v>
      </c>
      <c r="B662" s="2" t="s">
        <v>2869</v>
      </c>
      <c r="C662" s="2" t="s">
        <v>14</v>
      </c>
      <c r="D662" s="2" t="s">
        <v>15</v>
      </c>
      <c r="E662" s="2" t="s">
        <v>23</v>
      </c>
      <c r="F662" s="3">
        <f>+5491135816098</f>
        <v>5491135816098</v>
      </c>
      <c r="G662" s="2" t="s">
        <v>2870</v>
      </c>
      <c r="H662" s="2" t="s">
        <v>25</v>
      </c>
      <c r="I662" s="2" t="s">
        <v>203</v>
      </c>
      <c r="J662" s="2" t="s">
        <v>204</v>
      </c>
      <c r="K662" s="4">
        <v>46133.0</v>
      </c>
      <c r="L662" s="2" t="s">
        <v>2871</v>
      </c>
    </row>
    <row r="663">
      <c r="A663" s="2" t="s">
        <v>2872</v>
      </c>
      <c r="B663" s="2" t="s">
        <v>2873</v>
      </c>
      <c r="C663" s="2" t="s">
        <v>14</v>
      </c>
      <c r="D663" s="2" t="s">
        <v>15</v>
      </c>
      <c r="E663" s="2" t="s">
        <v>23</v>
      </c>
      <c r="F663" s="3">
        <f>+5493516576451</f>
        <v>5493516576451</v>
      </c>
      <c r="G663" s="2" t="s">
        <v>2874</v>
      </c>
      <c r="H663" s="2" t="s">
        <v>18</v>
      </c>
      <c r="I663" s="2" t="s">
        <v>18</v>
      </c>
      <c r="J663" s="2" t="s">
        <v>2875</v>
      </c>
      <c r="K663" s="4">
        <v>46133.0</v>
      </c>
      <c r="L663" s="2" t="s">
        <v>2876</v>
      </c>
    </row>
    <row r="664">
      <c r="A664" s="2" t="s">
        <v>2877</v>
      </c>
      <c r="B664" s="2" t="s">
        <v>2878</v>
      </c>
      <c r="C664" s="2" t="s">
        <v>14</v>
      </c>
      <c r="D664" s="2" t="s">
        <v>15</v>
      </c>
      <c r="E664" s="2" t="s">
        <v>23</v>
      </c>
      <c r="F664" s="3">
        <f>+5491167604607</f>
        <v>5491167604607</v>
      </c>
      <c r="G664" s="2" t="s">
        <v>2879</v>
      </c>
      <c r="H664" s="2" t="s">
        <v>25</v>
      </c>
      <c r="I664" s="2" t="s">
        <v>764</v>
      </c>
      <c r="J664" s="2" t="s">
        <v>765</v>
      </c>
      <c r="K664" s="4">
        <v>46133.0</v>
      </c>
      <c r="L664" s="2" t="s">
        <v>2880</v>
      </c>
    </row>
    <row r="665">
      <c r="A665" s="2" t="s">
        <v>2881</v>
      </c>
      <c r="B665" s="2" t="s">
        <v>2882</v>
      </c>
      <c r="C665" s="2" t="s">
        <v>14</v>
      </c>
      <c r="D665" s="2" t="s">
        <v>15</v>
      </c>
      <c r="E665" s="2" t="s">
        <v>23</v>
      </c>
      <c r="F665" s="3">
        <f>+5491133502895</f>
        <v>5491133502895</v>
      </c>
      <c r="G665" s="2" t="s">
        <v>2883</v>
      </c>
      <c r="H665" s="2" t="s">
        <v>25</v>
      </c>
      <c r="I665" s="2" t="s">
        <v>26</v>
      </c>
      <c r="J665" s="2" t="s">
        <v>1758</v>
      </c>
      <c r="K665" s="4">
        <v>46133.0</v>
      </c>
      <c r="L665" s="2" t="s">
        <v>2884</v>
      </c>
    </row>
    <row r="666">
      <c r="A666" s="2" t="s">
        <v>2885</v>
      </c>
      <c r="B666" s="2" t="s">
        <v>2886</v>
      </c>
      <c r="C666" s="2" t="s">
        <v>14</v>
      </c>
      <c r="D666" s="2" t="s">
        <v>15</v>
      </c>
      <c r="E666" s="2" t="s">
        <v>16</v>
      </c>
      <c r="F666" s="3">
        <f>+5491111111111</f>
        <v>5491111111111</v>
      </c>
      <c r="G666" s="2" t="s">
        <v>2887</v>
      </c>
      <c r="H666" s="2" t="s">
        <v>65</v>
      </c>
      <c r="I666" s="2" t="s">
        <v>1000</v>
      </c>
      <c r="J666" s="2" t="s">
        <v>1000</v>
      </c>
      <c r="K666" s="4">
        <v>46133.0</v>
      </c>
      <c r="L666" s="2" t="s">
        <v>2888</v>
      </c>
    </row>
    <row r="667">
      <c r="A667" s="2" t="s">
        <v>2889</v>
      </c>
      <c r="B667" s="2" t="s">
        <v>2890</v>
      </c>
      <c r="C667" s="2" t="s">
        <v>14</v>
      </c>
      <c r="D667" s="2" t="s">
        <v>15</v>
      </c>
      <c r="E667" s="2" t="s">
        <v>23</v>
      </c>
      <c r="F667" s="3">
        <f>+5493816980636</f>
        <v>5493816980636</v>
      </c>
      <c r="G667" s="2" t="s">
        <v>2891</v>
      </c>
      <c r="H667" s="2" t="s">
        <v>55</v>
      </c>
      <c r="I667" s="2" t="s">
        <v>883</v>
      </c>
      <c r="J667" s="2" t="s">
        <v>1579</v>
      </c>
      <c r="K667" s="4">
        <v>46133.0</v>
      </c>
      <c r="L667" s="2" t="s">
        <v>2892</v>
      </c>
    </row>
    <row r="668">
      <c r="A668" s="2" t="s">
        <v>2893</v>
      </c>
      <c r="B668" s="2" t="s">
        <v>2894</v>
      </c>
      <c r="C668" s="2" t="s">
        <v>14</v>
      </c>
      <c r="D668" s="2" t="s">
        <v>15</v>
      </c>
      <c r="E668" s="2" t="s">
        <v>23</v>
      </c>
      <c r="F668" s="3">
        <f>+5492213148922</f>
        <v>5492213148922</v>
      </c>
      <c r="G668" s="2" t="s">
        <v>2895</v>
      </c>
      <c r="H668" s="2" t="s">
        <v>25</v>
      </c>
      <c r="I668" s="2" t="s">
        <v>44</v>
      </c>
      <c r="J668" s="2" t="s">
        <v>44</v>
      </c>
      <c r="K668" s="4">
        <v>46133.0</v>
      </c>
      <c r="L668" s="2" t="s">
        <v>2896</v>
      </c>
    </row>
    <row r="669">
      <c r="A669" s="2" t="s">
        <v>2897</v>
      </c>
      <c r="B669" s="2" t="s">
        <v>2898</v>
      </c>
      <c r="C669" s="2" t="s">
        <v>14</v>
      </c>
      <c r="D669" s="2" t="s">
        <v>15</v>
      </c>
      <c r="E669" s="2" t="s">
        <v>23</v>
      </c>
      <c r="F669" s="3">
        <f>+5492613386227</f>
        <v>5492613386227</v>
      </c>
      <c r="G669" s="2" t="s">
        <v>2899</v>
      </c>
      <c r="H669" s="2" t="s">
        <v>71</v>
      </c>
      <c r="I669" s="2" t="s">
        <v>1625</v>
      </c>
      <c r="J669" s="2" t="s">
        <v>2900</v>
      </c>
      <c r="K669" s="4">
        <v>46133.0</v>
      </c>
      <c r="L669" s="2" t="s">
        <v>2901</v>
      </c>
    </row>
    <row r="670">
      <c r="A670" s="2" t="s">
        <v>2902</v>
      </c>
      <c r="B670" s="2" t="s">
        <v>2903</v>
      </c>
      <c r="C670" s="2" t="s">
        <v>14</v>
      </c>
      <c r="D670" s="2" t="s">
        <v>15</v>
      </c>
      <c r="E670" s="2" t="s">
        <v>23</v>
      </c>
      <c r="F670" s="3">
        <f>+5493517625881</f>
        <v>5493517625881</v>
      </c>
      <c r="G670" s="2" t="s">
        <v>2904</v>
      </c>
      <c r="H670" s="2" t="s">
        <v>18</v>
      </c>
      <c r="I670" s="2" t="s">
        <v>18</v>
      </c>
      <c r="J670" s="2" t="s">
        <v>2905</v>
      </c>
      <c r="K670" s="4">
        <v>46133.0</v>
      </c>
      <c r="L670" s="2" t="s">
        <v>2906</v>
      </c>
    </row>
    <row r="671">
      <c r="A671" s="2" t="s">
        <v>2907</v>
      </c>
      <c r="B671" s="2" t="s">
        <v>2908</v>
      </c>
      <c r="C671" s="2" t="s">
        <v>14</v>
      </c>
      <c r="D671" s="2" t="s">
        <v>15</v>
      </c>
      <c r="E671" s="2" t="s">
        <v>16</v>
      </c>
      <c r="F671" s="3">
        <f>+5492234798281</f>
        <v>5492234798281</v>
      </c>
      <c r="G671" s="2" t="s">
        <v>2909</v>
      </c>
      <c r="H671" s="2" t="s">
        <v>725</v>
      </c>
      <c r="I671" s="2" t="s">
        <v>725</v>
      </c>
      <c r="J671" s="2" t="s">
        <v>219</v>
      </c>
      <c r="K671" s="4">
        <v>46133.0</v>
      </c>
      <c r="L671" s="2" t="s">
        <v>2910</v>
      </c>
    </row>
    <row r="672">
      <c r="A672" s="2" t="s">
        <v>2911</v>
      </c>
      <c r="B672" s="2" t="s">
        <v>2912</v>
      </c>
      <c r="C672" s="2" t="s">
        <v>14</v>
      </c>
      <c r="D672" s="2" t="s">
        <v>15</v>
      </c>
      <c r="E672" s="2" t="s">
        <v>23</v>
      </c>
      <c r="F672" s="3">
        <f>+5491123759800</f>
        <v>5491123759800</v>
      </c>
      <c r="G672" s="2" t="s">
        <v>2913</v>
      </c>
      <c r="H672" s="2" t="s">
        <v>25</v>
      </c>
      <c r="I672" s="2" t="s">
        <v>550</v>
      </c>
      <c r="J672" s="2" t="s">
        <v>1113</v>
      </c>
      <c r="K672" s="4">
        <v>46133.0</v>
      </c>
      <c r="L672" s="2" t="s">
        <v>2914</v>
      </c>
    </row>
    <row r="673">
      <c r="A673" s="2" t="s">
        <v>2915</v>
      </c>
      <c r="B673" s="2" t="s">
        <v>2916</v>
      </c>
      <c r="C673" s="2" t="s">
        <v>14</v>
      </c>
      <c r="D673" s="2" t="s">
        <v>15</v>
      </c>
      <c r="E673" s="2" t="s">
        <v>23</v>
      </c>
      <c r="F673" s="3">
        <f>+54901137979717</f>
        <v>54901137979717</v>
      </c>
      <c r="G673" s="2" t="s">
        <v>2917</v>
      </c>
      <c r="H673" s="2" t="s">
        <v>25</v>
      </c>
      <c r="I673" s="2" t="s">
        <v>78</v>
      </c>
      <c r="J673" s="2" t="s">
        <v>2251</v>
      </c>
      <c r="K673" s="4">
        <v>46133.0</v>
      </c>
      <c r="L673" s="2" t="s">
        <v>2918</v>
      </c>
    </row>
    <row r="674">
      <c r="A674" s="2" t="s">
        <v>2919</v>
      </c>
      <c r="B674" s="2" t="s">
        <v>2920</v>
      </c>
      <c r="C674" s="2" t="s">
        <v>14</v>
      </c>
      <c r="D674" s="2" t="s">
        <v>15</v>
      </c>
      <c r="E674" s="2" t="s">
        <v>23</v>
      </c>
      <c r="F674" s="3">
        <f>+5493874048295</f>
        <v>5493874048295</v>
      </c>
      <c r="G674" s="2" t="s">
        <v>2921</v>
      </c>
      <c r="H674" s="2" t="s">
        <v>725</v>
      </c>
      <c r="I674" s="2" t="s">
        <v>725</v>
      </c>
      <c r="J674" s="2" t="s">
        <v>2922</v>
      </c>
      <c r="K674" s="4">
        <v>46133.0</v>
      </c>
      <c r="L674" s="2" t="s">
        <v>2923</v>
      </c>
    </row>
    <row r="675">
      <c r="A675" s="2" t="s">
        <v>2924</v>
      </c>
      <c r="B675" s="2" t="s">
        <v>2925</v>
      </c>
      <c r="C675" s="2" t="s">
        <v>14</v>
      </c>
      <c r="D675" s="2" t="s">
        <v>15</v>
      </c>
      <c r="E675" s="2" t="s">
        <v>23</v>
      </c>
      <c r="F675" s="3">
        <f>+5493492668850</f>
        <v>5493492668850</v>
      </c>
      <c r="G675" s="2" t="s">
        <v>2926</v>
      </c>
      <c r="H675" s="2" t="s">
        <v>65</v>
      </c>
      <c r="I675" s="2" t="s">
        <v>1000</v>
      </c>
      <c r="J675" s="2" t="s">
        <v>1000</v>
      </c>
      <c r="K675" s="4">
        <v>46133.0</v>
      </c>
      <c r="L675" s="2" t="s">
        <v>2927</v>
      </c>
    </row>
    <row r="676">
      <c r="A676" s="2" t="s">
        <v>2928</v>
      </c>
      <c r="B676" s="2" t="s">
        <v>2929</v>
      </c>
      <c r="C676" s="2" t="s">
        <v>14</v>
      </c>
      <c r="D676" s="2" t="s">
        <v>15</v>
      </c>
      <c r="E676" s="2" t="s">
        <v>16</v>
      </c>
      <c r="F676" s="3">
        <f>+5491160421918</f>
        <v>5491160421918</v>
      </c>
      <c r="G676" s="2" t="s">
        <v>2930</v>
      </c>
      <c r="H676" s="2" t="s">
        <v>25</v>
      </c>
      <c r="I676" s="2" t="s">
        <v>38</v>
      </c>
      <c r="J676" s="2" t="s">
        <v>39</v>
      </c>
      <c r="K676" s="4">
        <v>46133.0</v>
      </c>
      <c r="L676" s="2" t="s">
        <v>2931</v>
      </c>
    </row>
    <row r="677">
      <c r="A677" s="2" t="s">
        <v>2932</v>
      </c>
      <c r="B677" s="2" t="s">
        <v>2933</v>
      </c>
      <c r="C677" s="2" t="s">
        <v>14</v>
      </c>
      <c r="D677" s="2" t="s">
        <v>15</v>
      </c>
      <c r="E677" s="2" t="s">
        <v>23</v>
      </c>
      <c r="F677" s="3">
        <f>+5491126796325</f>
        <v>5491126796325</v>
      </c>
      <c r="G677" s="2" t="s">
        <v>2934</v>
      </c>
      <c r="H677" s="2" t="s">
        <v>25</v>
      </c>
      <c r="I677" s="2" t="s">
        <v>49</v>
      </c>
      <c r="J677" s="2" t="s">
        <v>418</v>
      </c>
      <c r="K677" s="4">
        <v>46133.0</v>
      </c>
      <c r="L677" s="2" t="s">
        <v>2935</v>
      </c>
    </row>
    <row r="678">
      <c r="A678" s="2" t="s">
        <v>2936</v>
      </c>
      <c r="B678" s="2" t="s">
        <v>2937</v>
      </c>
      <c r="C678" s="2" t="s">
        <v>14</v>
      </c>
      <c r="D678" s="2" t="s">
        <v>15</v>
      </c>
      <c r="E678" s="2" t="s">
        <v>23</v>
      </c>
      <c r="F678" s="3">
        <f>+5491167146808</f>
        <v>5491167146808</v>
      </c>
      <c r="G678" s="2" t="s">
        <v>2938</v>
      </c>
      <c r="H678" s="2" t="s">
        <v>32</v>
      </c>
      <c r="I678" s="2" t="s">
        <v>25</v>
      </c>
      <c r="J678" s="2" t="s">
        <v>702</v>
      </c>
      <c r="K678" s="4">
        <v>46133.0</v>
      </c>
      <c r="L678" s="2" t="s">
        <v>2939</v>
      </c>
    </row>
    <row r="679">
      <c r="A679" s="2" t="s">
        <v>2940</v>
      </c>
      <c r="B679" s="2" t="s">
        <v>2941</v>
      </c>
      <c r="C679" s="2" t="s">
        <v>14</v>
      </c>
      <c r="D679" s="2" t="s">
        <v>15</v>
      </c>
      <c r="E679" s="2" t="s">
        <v>23</v>
      </c>
      <c r="F679" s="3">
        <f>+5491126796325</f>
        <v>5491126796325</v>
      </c>
      <c r="G679" s="2" t="s">
        <v>2934</v>
      </c>
      <c r="H679" s="2" t="s">
        <v>25</v>
      </c>
      <c r="I679" s="2" t="s">
        <v>49</v>
      </c>
      <c r="J679" s="2" t="s">
        <v>418</v>
      </c>
      <c r="K679" s="4">
        <v>46133.0</v>
      </c>
      <c r="L679" s="2" t="s">
        <v>2935</v>
      </c>
    </row>
    <row r="680">
      <c r="A680" s="2" t="s">
        <v>2942</v>
      </c>
      <c r="B680" s="2" t="s">
        <v>2943</v>
      </c>
      <c r="C680" s="2" t="s">
        <v>14</v>
      </c>
      <c r="D680" s="2" t="s">
        <v>15</v>
      </c>
      <c r="E680" s="2" t="s">
        <v>23</v>
      </c>
      <c r="F680" s="3">
        <f>+5491138064383</f>
        <v>5491138064383</v>
      </c>
      <c r="G680" s="2" t="s">
        <v>2944</v>
      </c>
      <c r="H680" s="2" t="s">
        <v>25</v>
      </c>
      <c r="I680" s="2" t="s">
        <v>97</v>
      </c>
      <c r="J680" s="2" t="s">
        <v>697</v>
      </c>
      <c r="K680" s="4">
        <v>46133.0</v>
      </c>
      <c r="L680" s="2" t="s">
        <v>2945</v>
      </c>
    </row>
    <row r="681">
      <c r="A681" s="2" t="s">
        <v>2946</v>
      </c>
      <c r="B681" s="2" t="s">
        <v>2947</v>
      </c>
      <c r="C681" s="2" t="s">
        <v>14</v>
      </c>
      <c r="D681" s="2" t="s">
        <v>15</v>
      </c>
      <c r="E681" s="2" t="s">
        <v>23</v>
      </c>
      <c r="F681" s="3">
        <f>+5491138517180</f>
        <v>5491138517180</v>
      </c>
      <c r="G681" s="2" t="s">
        <v>2948</v>
      </c>
      <c r="H681" s="2" t="s">
        <v>32</v>
      </c>
      <c r="I681" s="2" t="s">
        <v>25</v>
      </c>
      <c r="J681" s="2" t="s">
        <v>759</v>
      </c>
      <c r="K681" s="4">
        <v>46133.0</v>
      </c>
      <c r="L681" s="2" t="s">
        <v>2949</v>
      </c>
    </row>
    <row r="682">
      <c r="A682" s="2" t="s">
        <v>2950</v>
      </c>
      <c r="B682" s="2" t="s">
        <v>2951</v>
      </c>
      <c r="C682" s="2" t="s">
        <v>14</v>
      </c>
      <c r="D682" s="2" t="s">
        <v>15</v>
      </c>
      <c r="E682" s="2" t="s">
        <v>23</v>
      </c>
      <c r="F682" s="3">
        <f>+5492474401124</f>
        <v>5492474401124</v>
      </c>
      <c r="G682" s="2" t="s">
        <v>2952</v>
      </c>
      <c r="H682" s="2" t="s">
        <v>65</v>
      </c>
      <c r="I682" s="2" t="s">
        <v>218</v>
      </c>
      <c r="J682" s="2" t="s">
        <v>219</v>
      </c>
      <c r="K682" s="4">
        <v>46133.0</v>
      </c>
      <c r="L682" s="2" t="s">
        <v>2953</v>
      </c>
    </row>
    <row r="683">
      <c r="A683" s="2" t="s">
        <v>2954</v>
      </c>
      <c r="B683" s="2" t="s">
        <v>2955</v>
      </c>
      <c r="C683" s="2" t="s">
        <v>14</v>
      </c>
      <c r="D683" s="2" t="s">
        <v>15</v>
      </c>
      <c r="E683" s="2" t="s">
        <v>23</v>
      </c>
      <c r="F683" s="3">
        <f>+5491168860667</f>
        <v>5491168860667</v>
      </c>
      <c r="G683" s="2" t="s">
        <v>2956</v>
      </c>
      <c r="H683" s="2" t="s">
        <v>32</v>
      </c>
      <c r="I683" s="2" t="s">
        <v>25</v>
      </c>
      <c r="J683" s="2" t="s">
        <v>897</v>
      </c>
      <c r="K683" s="4">
        <v>46133.0</v>
      </c>
      <c r="L683" s="2" t="s">
        <v>2957</v>
      </c>
    </row>
    <row r="684">
      <c r="A684" s="2" t="s">
        <v>2958</v>
      </c>
      <c r="B684" s="2" t="s">
        <v>2959</v>
      </c>
      <c r="C684" s="2" t="s">
        <v>14</v>
      </c>
      <c r="D684" s="2" t="s">
        <v>15</v>
      </c>
      <c r="E684" s="2" t="s">
        <v>23</v>
      </c>
      <c r="F684" s="3">
        <f>+5492215988827</f>
        <v>5492215988827</v>
      </c>
      <c r="G684" s="2" t="s">
        <v>2960</v>
      </c>
      <c r="H684" s="2" t="s">
        <v>25</v>
      </c>
      <c r="I684" s="2" t="s">
        <v>44</v>
      </c>
      <c r="J684" s="2" t="s">
        <v>44</v>
      </c>
      <c r="K684" s="4">
        <v>46133.0</v>
      </c>
      <c r="L684" s="2" t="s">
        <v>2961</v>
      </c>
    </row>
    <row r="685">
      <c r="A685" s="2" t="s">
        <v>2962</v>
      </c>
      <c r="B685" s="2" t="s">
        <v>2963</v>
      </c>
      <c r="C685" s="2" t="s">
        <v>14</v>
      </c>
      <c r="D685" s="2" t="s">
        <v>15</v>
      </c>
      <c r="E685" s="2" t="s">
        <v>23</v>
      </c>
      <c r="F685" s="3">
        <f>+5492323333612</f>
        <v>5492323333612</v>
      </c>
      <c r="G685" s="2" t="s">
        <v>2964</v>
      </c>
      <c r="H685" s="2" t="s">
        <v>25</v>
      </c>
      <c r="I685" s="2" t="s">
        <v>1671</v>
      </c>
      <c r="J685" s="2" t="s">
        <v>1671</v>
      </c>
      <c r="K685" s="4">
        <v>46133.0</v>
      </c>
      <c r="L685" s="2" t="s">
        <v>2965</v>
      </c>
    </row>
    <row r="686">
      <c r="A686" s="2" t="s">
        <v>2966</v>
      </c>
      <c r="B686" s="2" t="s">
        <v>2967</v>
      </c>
      <c r="C686" s="2" t="s">
        <v>14</v>
      </c>
      <c r="D686" s="2" t="s">
        <v>15</v>
      </c>
      <c r="E686" s="2" t="s">
        <v>23</v>
      </c>
      <c r="F686" s="3">
        <f>+5493813467299</f>
        <v>5493813467299</v>
      </c>
      <c r="G686" s="2" t="s">
        <v>2968</v>
      </c>
      <c r="H686" s="2" t="s">
        <v>55</v>
      </c>
      <c r="I686" s="2" t="s">
        <v>883</v>
      </c>
      <c r="J686" s="2" t="s">
        <v>611</v>
      </c>
      <c r="K686" s="4">
        <v>46133.0</v>
      </c>
      <c r="L686" s="2" t="s">
        <v>2969</v>
      </c>
    </row>
    <row r="687">
      <c r="A687" s="2" t="s">
        <v>2970</v>
      </c>
      <c r="B687" s="2" t="s">
        <v>2971</v>
      </c>
      <c r="C687" s="2" t="s">
        <v>14</v>
      </c>
      <c r="D687" s="2" t="s">
        <v>15</v>
      </c>
      <c r="E687" s="2" t="s">
        <v>23</v>
      </c>
      <c r="F687" s="3">
        <f>+5491136509763</f>
        <v>5491136509763</v>
      </c>
      <c r="G687" s="2" t="s">
        <v>2972</v>
      </c>
      <c r="H687" s="2" t="s">
        <v>25</v>
      </c>
      <c r="I687" s="2" t="s">
        <v>49</v>
      </c>
      <c r="J687" s="2" t="s">
        <v>49</v>
      </c>
      <c r="K687" s="4">
        <v>46133.0</v>
      </c>
      <c r="L687" s="2" t="s">
        <v>2973</v>
      </c>
    </row>
    <row r="688">
      <c r="A688" s="2" t="s">
        <v>2974</v>
      </c>
      <c r="B688" s="2" t="s">
        <v>2975</v>
      </c>
      <c r="C688" s="2" t="s">
        <v>14</v>
      </c>
      <c r="D688" s="2" t="s">
        <v>15</v>
      </c>
      <c r="E688" s="2" t="s">
        <v>16</v>
      </c>
      <c r="F688" s="3">
        <f>+5491160421918</f>
        <v>5491160421918</v>
      </c>
      <c r="G688" s="2" t="s">
        <v>2976</v>
      </c>
      <c r="H688" s="2" t="s">
        <v>25</v>
      </c>
      <c r="I688" s="2" t="s">
        <v>38</v>
      </c>
      <c r="J688" s="2" t="s">
        <v>39</v>
      </c>
      <c r="K688" s="4">
        <v>46133.0</v>
      </c>
      <c r="L688" s="2" t="s">
        <v>2977</v>
      </c>
    </row>
    <row r="689">
      <c r="A689" s="2" t="s">
        <v>2978</v>
      </c>
      <c r="B689" s="2" t="s">
        <v>2979</v>
      </c>
      <c r="C689" s="2" t="s">
        <v>14</v>
      </c>
      <c r="D689" s="2" t="s">
        <v>15</v>
      </c>
      <c r="E689" s="2" t="s">
        <v>23</v>
      </c>
      <c r="F689" s="3">
        <f>+5491163501597</f>
        <v>5491163501597</v>
      </c>
      <c r="G689" s="2" t="s">
        <v>2980</v>
      </c>
      <c r="H689" s="2" t="s">
        <v>25</v>
      </c>
      <c r="I689" s="2" t="s">
        <v>246</v>
      </c>
      <c r="J689" s="2" t="s">
        <v>299</v>
      </c>
      <c r="K689" s="4">
        <v>46133.0</v>
      </c>
      <c r="L689" s="2" t="s">
        <v>2981</v>
      </c>
    </row>
    <row r="690">
      <c r="A690" s="2" t="s">
        <v>2982</v>
      </c>
      <c r="B690" s="2" t="s">
        <v>2983</v>
      </c>
      <c r="C690" s="2" t="s">
        <v>14</v>
      </c>
      <c r="D690" s="2" t="s">
        <v>15</v>
      </c>
      <c r="E690" s="2" t="s">
        <v>23</v>
      </c>
      <c r="F690" s="3">
        <f>+5493516649344</f>
        <v>5493516649344</v>
      </c>
      <c r="G690" s="2" t="s">
        <v>2984</v>
      </c>
      <c r="H690" s="2" t="s">
        <v>18</v>
      </c>
      <c r="I690" s="2" t="s">
        <v>18</v>
      </c>
      <c r="J690" s="2" t="s">
        <v>2985</v>
      </c>
      <c r="K690" s="4">
        <v>46133.0</v>
      </c>
      <c r="L690" s="2" t="s">
        <v>2986</v>
      </c>
    </row>
    <row r="691">
      <c r="A691" s="2" t="s">
        <v>2987</v>
      </c>
      <c r="B691" s="2" t="s">
        <v>2988</v>
      </c>
      <c r="C691" s="2" t="s">
        <v>14</v>
      </c>
      <c r="D691" s="2" t="s">
        <v>15</v>
      </c>
      <c r="E691" s="2" t="s">
        <v>23</v>
      </c>
      <c r="F691" s="3">
        <f>+5491149226314</f>
        <v>5491149226314</v>
      </c>
      <c r="G691" s="2" t="s">
        <v>2989</v>
      </c>
      <c r="H691" s="2" t="s">
        <v>32</v>
      </c>
      <c r="I691" s="2" t="s">
        <v>25</v>
      </c>
      <c r="J691" s="2" t="s">
        <v>2990</v>
      </c>
      <c r="K691" s="4">
        <v>46133.0</v>
      </c>
      <c r="L691" s="2" t="s">
        <v>2991</v>
      </c>
    </row>
    <row r="692">
      <c r="A692" s="2" t="s">
        <v>2992</v>
      </c>
      <c r="B692" s="2" t="s">
        <v>2993</v>
      </c>
      <c r="C692" s="2" t="s">
        <v>14</v>
      </c>
      <c r="D692" s="2" t="s">
        <v>15</v>
      </c>
      <c r="E692" s="2" t="s">
        <v>23</v>
      </c>
      <c r="F692" s="3">
        <f>+5491173695240</f>
        <v>5491173695240</v>
      </c>
      <c r="G692" s="2" t="s">
        <v>2994</v>
      </c>
      <c r="H692" s="2" t="s">
        <v>32</v>
      </c>
      <c r="I692" s="2" t="s">
        <v>25</v>
      </c>
      <c r="J692" s="2" t="s">
        <v>143</v>
      </c>
      <c r="K692" s="4">
        <v>46133.0</v>
      </c>
      <c r="L692" s="2" t="s">
        <v>2995</v>
      </c>
    </row>
    <row r="693">
      <c r="A693" s="2" t="s">
        <v>2996</v>
      </c>
      <c r="B693" s="2" t="s">
        <v>2997</v>
      </c>
      <c r="C693" s="2" t="s">
        <v>14</v>
      </c>
      <c r="D693" s="2" t="s">
        <v>15</v>
      </c>
      <c r="E693" s="2" t="s">
        <v>23</v>
      </c>
      <c r="F693" s="3">
        <f>+5492216136299</f>
        <v>5492216136299</v>
      </c>
      <c r="G693" s="2" t="s">
        <v>2998</v>
      </c>
      <c r="H693" s="2" t="s">
        <v>25</v>
      </c>
      <c r="I693" s="2" t="s">
        <v>44</v>
      </c>
      <c r="J693" s="2" t="s">
        <v>44</v>
      </c>
      <c r="K693" s="4">
        <v>46133.0</v>
      </c>
      <c r="L693" s="2" t="s">
        <v>2999</v>
      </c>
    </row>
    <row r="694">
      <c r="A694" s="2" t="s">
        <v>3000</v>
      </c>
      <c r="B694" s="2" t="s">
        <v>3001</v>
      </c>
      <c r="C694" s="2" t="s">
        <v>14</v>
      </c>
      <c r="D694" s="2" t="s">
        <v>15</v>
      </c>
      <c r="E694" s="2" t="s">
        <v>23</v>
      </c>
      <c r="F694" s="3">
        <f>+5491133919656</f>
        <v>5491133919656</v>
      </c>
      <c r="G694" s="2" t="s">
        <v>3002</v>
      </c>
      <c r="H694" s="2" t="s">
        <v>25</v>
      </c>
      <c r="I694" s="2" t="s">
        <v>97</v>
      </c>
      <c r="J694" s="2" t="s">
        <v>98</v>
      </c>
      <c r="K694" s="4">
        <v>46133.0</v>
      </c>
      <c r="L694" s="2" t="s">
        <v>3003</v>
      </c>
    </row>
    <row r="695">
      <c r="A695" s="2" t="s">
        <v>3004</v>
      </c>
      <c r="B695" s="2" t="s">
        <v>3005</v>
      </c>
      <c r="C695" s="2" t="s">
        <v>14</v>
      </c>
      <c r="D695" s="2" t="s">
        <v>15</v>
      </c>
      <c r="E695" s="2" t="s">
        <v>23</v>
      </c>
      <c r="F695" s="3">
        <f>+5491135227355</f>
        <v>5491135227355</v>
      </c>
      <c r="G695" s="2" t="s">
        <v>3006</v>
      </c>
      <c r="H695" s="2" t="s">
        <v>25</v>
      </c>
      <c r="I695" s="2" t="s">
        <v>971</v>
      </c>
      <c r="J695" s="2" t="s">
        <v>971</v>
      </c>
      <c r="K695" s="4">
        <v>46133.0</v>
      </c>
      <c r="L695" s="2" t="s">
        <v>3007</v>
      </c>
    </row>
    <row r="696">
      <c r="A696" s="2" t="s">
        <v>3008</v>
      </c>
      <c r="B696" s="2" t="s">
        <v>3009</v>
      </c>
      <c r="C696" s="2" t="s">
        <v>14</v>
      </c>
      <c r="D696" s="2" t="s">
        <v>15</v>
      </c>
      <c r="E696" s="2" t="s">
        <v>23</v>
      </c>
      <c r="F696" s="3">
        <f>+5493489346240</f>
        <v>5493489346240</v>
      </c>
      <c r="G696" s="2" t="s">
        <v>3010</v>
      </c>
      <c r="H696" s="2" t="s">
        <v>25</v>
      </c>
      <c r="I696" s="2" t="s">
        <v>3011</v>
      </c>
      <c r="J696" s="2" t="s">
        <v>3011</v>
      </c>
      <c r="K696" s="4">
        <v>46133.0</v>
      </c>
      <c r="L696" s="2" t="s">
        <v>3012</v>
      </c>
    </row>
    <row r="697">
      <c r="A697" s="2" t="s">
        <v>3013</v>
      </c>
      <c r="B697" s="2" t="s">
        <v>3014</v>
      </c>
      <c r="C697" s="2" t="s">
        <v>14</v>
      </c>
      <c r="D697" s="2" t="s">
        <v>15</v>
      </c>
      <c r="E697" s="2" t="s">
        <v>23</v>
      </c>
      <c r="F697" s="3">
        <f>+5492216815363</f>
        <v>5492216815363</v>
      </c>
      <c r="G697" s="2" t="s">
        <v>3015</v>
      </c>
      <c r="H697" s="2" t="s">
        <v>25</v>
      </c>
      <c r="I697" s="2" t="s">
        <v>44</v>
      </c>
      <c r="J697" s="2" t="s">
        <v>3016</v>
      </c>
      <c r="K697" s="4">
        <v>46133.0</v>
      </c>
      <c r="L697" s="2" t="s">
        <v>3017</v>
      </c>
    </row>
    <row r="698">
      <c r="A698" s="2" t="s">
        <v>3018</v>
      </c>
      <c r="B698" s="2" t="s">
        <v>3019</v>
      </c>
      <c r="C698" s="2" t="s">
        <v>14</v>
      </c>
      <c r="D698" s="2" t="s">
        <v>15</v>
      </c>
      <c r="E698" s="2" t="s">
        <v>23</v>
      </c>
      <c r="F698" s="3">
        <f>+5491131447297</f>
        <v>5491131447297</v>
      </c>
      <c r="G698" s="2" t="s">
        <v>3020</v>
      </c>
      <c r="H698" s="2" t="s">
        <v>25</v>
      </c>
      <c r="I698" s="2" t="s">
        <v>246</v>
      </c>
      <c r="J698" s="2" t="s">
        <v>247</v>
      </c>
      <c r="K698" s="4">
        <v>46133.0</v>
      </c>
      <c r="L698" s="2" t="s">
        <v>3021</v>
      </c>
    </row>
    <row r="699">
      <c r="A699" s="2" t="s">
        <v>3022</v>
      </c>
      <c r="B699" s="2" t="s">
        <v>3023</v>
      </c>
      <c r="C699" s="2" t="s">
        <v>14</v>
      </c>
      <c r="D699" s="2" t="s">
        <v>15</v>
      </c>
      <c r="E699" s="2" t="s">
        <v>23</v>
      </c>
      <c r="F699" s="3">
        <f>+5493872270302</f>
        <v>5493872270302</v>
      </c>
      <c r="G699" s="2" t="s">
        <v>3024</v>
      </c>
      <c r="H699" s="2" t="s">
        <v>725</v>
      </c>
      <c r="I699" s="2" t="s">
        <v>725</v>
      </c>
      <c r="J699" s="2" t="s">
        <v>219</v>
      </c>
      <c r="K699" s="4">
        <v>46133.0</v>
      </c>
      <c r="L699" s="2" t="s">
        <v>3025</v>
      </c>
    </row>
    <row r="700">
      <c r="A700" s="2" t="s">
        <v>3026</v>
      </c>
      <c r="B700" s="2" t="s">
        <v>3027</v>
      </c>
      <c r="C700" s="2" t="s">
        <v>14</v>
      </c>
      <c r="D700" s="2" t="s">
        <v>15</v>
      </c>
      <c r="E700" s="2" t="s">
        <v>23</v>
      </c>
      <c r="F700" s="3">
        <f>+5491123005869</f>
        <v>5491123005869</v>
      </c>
      <c r="G700" s="2" t="s">
        <v>3028</v>
      </c>
      <c r="H700" s="2" t="s">
        <v>25</v>
      </c>
      <c r="I700" s="2" t="s">
        <v>1920</v>
      </c>
      <c r="J700" s="2" t="s">
        <v>1920</v>
      </c>
      <c r="K700" s="4">
        <v>46133.0</v>
      </c>
      <c r="L700" s="2" t="s">
        <v>3029</v>
      </c>
    </row>
    <row r="701">
      <c r="A701" s="2" t="s">
        <v>3030</v>
      </c>
      <c r="B701" s="2" t="s">
        <v>3031</v>
      </c>
      <c r="C701" s="2" t="s">
        <v>14</v>
      </c>
      <c r="D701" s="2" t="s">
        <v>15</v>
      </c>
      <c r="E701" s="2" t="s">
        <v>23</v>
      </c>
      <c r="F701" s="3">
        <f>+5491127486909</f>
        <v>5491127486909</v>
      </c>
      <c r="G701" s="2" t="s">
        <v>3032</v>
      </c>
      <c r="H701" s="2" t="s">
        <v>25</v>
      </c>
      <c r="I701" s="2" t="s">
        <v>957</v>
      </c>
      <c r="J701" s="2" t="s">
        <v>957</v>
      </c>
      <c r="K701" s="4">
        <v>46133.0</v>
      </c>
      <c r="L701" s="2" t="s">
        <v>3033</v>
      </c>
    </row>
    <row r="702">
      <c r="A702" s="2" t="s">
        <v>3034</v>
      </c>
      <c r="B702" s="2" t="s">
        <v>3035</v>
      </c>
      <c r="C702" s="2" t="s">
        <v>14</v>
      </c>
      <c r="D702" s="2" t="s">
        <v>15</v>
      </c>
      <c r="E702" s="2" t="s">
        <v>23</v>
      </c>
      <c r="F702" s="3">
        <f>+5492914738185</f>
        <v>5492914738185</v>
      </c>
      <c r="G702" s="2" t="s">
        <v>3036</v>
      </c>
      <c r="H702" s="2" t="s">
        <v>25</v>
      </c>
      <c r="I702" s="2" t="s">
        <v>649</v>
      </c>
      <c r="J702" s="2" t="s">
        <v>3037</v>
      </c>
      <c r="K702" s="4">
        <v>46133.0</v>
      </c>
      <c r="L702" s="2" t="s">
        <v>3038</v>
      </c>
    </row>
    <row r="703">
      <c r="A703" s="2" t="s">
        <v>3039</v>
      </c>
      <c r="B703" s="2" t="s">
        <v>3040</v>
      </c>
      <c r="C703" s="2" t="s">
        <v>14</v>
      </c>
      <c r="D703" s="2" t="s">
        <v>15</v>
      </c>
      <c r="E703" s="2" t="s">
        <v>23</v>
      </c>
      <c r="F703" s="3">
        <f>+5493812207304</f>
        <v>5493812207304</v>
      </c>
      <c r="G703" s="2" t="s">
        <v>3041</v>
      </c>
      <c r="H703" s="2" t="s">
        <v>55</v>
      </c>
      <c r="I703" s="2" t="s">
        <v>56</v>
      </c>
      <c r="J703" s="2" t="s">
        <v>56</v>
      </c>
      <c r="K703" s="4">
        <v>46133.0</v>
      </c>
      <c r="L703" s="2" t="s">
        <v>3042</v>
      </c>
    </row>
    <row r="704">
      <c r="A704" s="2" t="s">
        <v>3043</v>
      </c>
      <c r="B704" s="2" t="s">
        <v>3044</v>
      </c>
      <c r="C704" s="2" t="s">
        <v>14</v>
      </c>
      <c r="D704" s="2" t="s">
        <v>15</v>
      </c>
      <c r="E704" s="2" t="s">
        <v>16</v>
      </c>
      <c r="F704" s="3">
        <f>+5493875324837</f>
        <v>5493875324837</v>
      </c>
      <c r="G704" s="2" t="s">
        <v>3045</v>
      </c>
      <c r="H704" s="2" t="s">
        <v>725</v>
      </c>
      <c r="I704" s="2" t="s">
        <v>725</v>
      </c>
      <c r="J704" s="2" t="s">
        <v>219</v>
      </c>
      <c r="K704" s="4">
        <v>46133.0</v>
      </c>
      <c r="L704" s="2" t="s">
        <v>3046</v>
      </c>
    </row>
    <row r="705">
      <c r="A705" s="2" t="s">
        <v>3047</v>
      </c>
      <c r="B705" s="2" t="s">
        <v>3048</v>
      </c>
      <c r="C705" s="2" t="s">
        <v>14</v>
      </c>
      <c r="D705" s="2" t="s">
        <v>15</v>
      </c>
      <c r="E705" s="2" t="s">
        <v>23</v>
      </c>
      <c r="F705" s="3">
        <f>+5491130170231</f>
        <v>5491130170231</v>
      </c>
      <c r="G705" s="2" t="s">
        <v>3049</v>
      </c>
      <c r="H705" s="2" t="s">
        <v>25</v>
      </c>
      <c r="I705" s="2" t="s">
        <v>957</v>
      </c>
      <c r="J705" s="2" t="s">
        <v>1475</v>
      </c>
      <c r="K705" s="4">
        <v>46133.0</v>
      </c>
      <c r="L705" s="2" t="s">
        <v>3050</v>
      </c>
    </row>
    <row r="706">
      <c r="A706" s="2" t="s">
        <v>3051</v>
      </c>
      <c r="B706" s="2" t="s">
        <v>3052</v>
      </c>
      <c r="C706" s="2" t="s">
        <v>14</v>
      </c>
      <c r="D706" s="2" t="s">
        <v>15</v>
      </c>
      <c r="E706" s="2" t="s">
        <v>23</v>
      </c>
      <c r="F706" s="3">
        <f>+5492215733081</f>
        <v>5492215733081</v>
      </c>
      <c r="G706" s="2" t="s">
        <v>3053</v>
      </c>
      <c r="H706" s="2" t="s">
        <v>25</v>
      </c>
      <c r="I706" s="2" t="s">
        <v>44</v>
      </c>
      <c r="J706" s="2" t="s">
        <v>1901</v>
      </c>
      <c r="K706" s="4">
        <v>46133.0</v>
      </c>
      <c r="L706" s="2" t="s">
        <v>3054</v>
      </c>
    </row>
    <row r="707">
      <c r="A707" s="2" t="s">
        <v>3055</v>
      </c>
      <c r="B707" s="2" t="s">
        <v>3056</v>
      </c>
      <c r="C707" s="2" t="s">
        <v>14</v>
      </c>
      <c r="D707" s="2" t="s">
        <v>15</v>
      </c>
      <c r="E707" s="2" t="s">
        <v>16</v>
      </c>
      <c r="F707" s="3">
        <f>+5491111111111</f>
        <v>5491111111111</v>
      </c>
      <c r="G707" s="2" t="s">
        <v>3057</v>
      </c>
      <c r="H707" s="2" t="s">
        <v>32</v>
      </c>
      <c r="I707" s="2" t="s">
        <v>25</v>
      </c>
      <c r="J707" s="2" t="s">
        <v>143</v>
      </c>
      <c r="K707" s="4">
        <v>46133.0</v>
      </c>
      <c r="L707" s="2" t="s">
        <v>3058</v>
      </c>
    </row>
    <row r="708">
      <c r="A708" s="2" t="s">
        <v>3059</v>
      </c>
      <c r="B708" s="2" t="s">
        <v>3060</v>
      </c>
      <c r="C708" s="2" t="s">
        <v>14</v>
      </c>
      <c r="D708" s="2" t="s">
        <v>15</v>
      </c>
      <c r="E708" s="2" t="s">
        <v>23</v>
      </c>
      <c r="F708" s="3">
        <f>+5491132909180</f>
        <v>5491132909180</v>
      </c>
      <c r="G708" s="2" t="s">
        <v>3061</v>
      </c>
      <c r="H708" s="2" t="s">
        <v>25</v>
      </c>
      <c r="I708" s="2" t="s">
        <v>314</v>
      </c>
      <c r="J708" s="2" t="s">
        <v>3062</v>
      </c>
      <c r="K708" s="4">
        <v>46133.0</v>
      </c>
      <c r="L708" s="2" t="s">
        <v>3063</v>
      </c>
    </row>
    <row r="709">
      <c r="A709" s="2" t="s">
        <v>3064</v>
      </c>
      <c r="B709" s="2" t="s">
        <v>3065</v>
      </c>
      <c r="C709" s="2" t="s">
        <v>14</v>
      </c>
      <c r="D709" s="2" t="s">
        <v>15</v>
      </c>
      <c r="E709" s="2" t="s">
        <v>23</v>
      </c>
      <c r="F709" s="3">
        <f>+5491171682547</f>
        <v>5491171682547</v>
      </c>
      <c r="G709" s="2" t="s">
        <v>3066</v>
      </c>
      <c r="H709" s="2" t="s">
        <v>25</v>
      </c>
      <c r="I709" s="2" t="s">
        <v>309</v>
      </c>
      <c r="J709" s="2" t="s">
        <v>1449</v>
      </c>
      <c r="K709" s="4">
        <v>46133.0</v>
      </c>
      <c r="L709" s="2" t="s">
        <v>3067</v>
      </c>
    </row>
    <row r="710">
      <c r="A710" s="2" t="s">
        <v>3068</v>
      </c>
      <c r="B710" s="2" t="s">
        <v>3069</v>
      </c>
      <c r="C710" s="2" t="s">
        <v>14</v>
      </c>
      <c r="D710" s="2" t="s">
        <v>15</v>
      </c>
      <c r="E710" s="2" t="s">
        <v>16</v>
      </c>
      <c r="F710" s="3">
        <f>+5491164431076</f>
        <v>5491164431076</v>
      </c>
      <c r="G710" s="2" t="s">
        <v>3070</v>
      </c>
      <c r="H710" s="2" t="s">
        <v>25</v>
      </c>
      <c r="I710" s="2" t="s">
        <v>160</v>
      </c>
      <c r="J710" s="2" t="s">
        <v>160</v>
      </c>
      <c r="K710" s="4">
        <v>46132.0</v>
      </c>
      <c r="L710" s="2" t="s">
        <v>3071</v>
      </c>
    </row>
    <row r="711">
      <c r="A711" s="2" t="s">
        <v>3072</v>
      </c>
      <c r="B711" s="2" t="s">
        <v>3073</v>
      </c>
      <c r="C711" s="2" t="s">
        <v>14</v>
      </c>
      <c r="D711" s="2" t="s">
        <v>15</v>
      </c>
      <c r="E711" s="2" t="s">
        <v>23</v>
      </c>
      <c r="F711" s="3">
        <f>+5492236811810</f>
        <v>5492236811810</v>
      </c>
      <c r="G711" s="2" t="s">
        <v>3074</v>
      </c>
      <c r="H711" s="2" t="s">
        <v>25</v>
      </c>
      <c r="I711" s="2" t="s">
        <v>649</v>
      </c>
      <c r="J711" s="2" t="s">
        <v>219</v>
      </c>
      <c r="K711" s="4">
        <v>46132.0</v>
      </c>
      <c r="L711" s="2" t="s">
        <v>3075</v>
      </c>
    </row>
    <row r="712">
      <c r="A712" s="2" t="s">
        <v>3076</v>
      </c>
      <c r="B712" s="2" t="s">
        <v>3077</v>
      </c>
      <c r="C712" s="2" t="s">
        <v>14</v>
      </c>
      <c r="D712" s="2" t="s">
        <v>15</v>
      </c>
      <c r="E712" s="2" t="s">
        <v>23</v>
      </c>
      <c r="F712" s="3">
        <f>+5492617056064</f>
        <v>5492617056064</v>
      </c>
      <c r="G712" s="2" t="s">
        <v>3078</v>
      </c>
      <c r="H712" s="2" t="s">
        <v>71</v>
      </c>
      <c r="I712" s="2" t="s">
        <v>72</v>
      </c>
      <c r="J712" s="2" t="s">
        <v>594</v>
      </c>
      <c r="K712" s="4">
        <v>46132.0</v>
      </c>
      <c r="L712" s="2" t="s">
        <v>3079</v>
      </c>
    </row>
    <row r="713">
      <c r="A713" s="2" t="s">
        <v>3080</v>
      </c>
      <c r="B713" s="2" t="s">
        <v>3081</v>
      </c>
      <c r="C713" s="2" t="s">
        <v>14</v>
      </c>
      <c r="D713" s="2" t="s">
        <v>15</v>
      </c>
      <c r="E713" s="2" t="s">
        <v>16</v>
      </c>
      <c r="F713" s="3">
        <f>+5491111111111</f>
        <v>5491111111111</v>
      </c>
      <c r="G713" s="2" t="s">
        <v>3082</v>
      </c>
      <c r="H713" s="2" t="s">
        <v>25</v>
      </c>
      <c r="I713" s="2" t="s">
        <v>486</v>
      </c>
      <c r="J713" s="2" t="s">
        <v>486</v>
      </c>
      <c r="K713" s="4">
        <v>46132.0</v>
      </c>
      <c r="L713" s="2" t="s">
        <v>3083</v>
      </c>
    </row>
    <row r="714">
      <c r="A714" s="2" t="s">
        <v>3084</v>
      </c>
      <c r="B714" s="2" t="s">
        <v>3085</v>
      </c>
      <c r="C714" s="2" t="s">
        <v>14</v>
      </c>
      <c r="D714" s="2" t="s">
        <v>15</v>
      </c>
      <c r="E714" s="2" t="s">
        <v>23</v>
      </c>
      <c r="F714" s="3">
        <f>+5491124895270</f>
        <v>5491124895270</v>
      </c>
      <c r="G714" s="2" t="s">
        <v>3086</v>
      </c>
      <c r="H714" s="2" t="s">
        <v>25</v>
      </c>
      <c r="I714" s="2" t="s">
        <v>764</v>
      </c>
      <c r="J714" s="2" t="s">
        <v>764</v>
      </c>
      <c r="K714" s="4">
        <v>46132.0</v>
      </c>
      <c r="L714" s="2" t="s">
        <v>3087</v>
      </c>
    </row>
    <row r="715">
      <c r="A715" s="2" t="s">
        <v>3088</v>
      </c>
      <c r="B715" s="2" t="s">
        <v>3089</v>
      </c>
      <c r="C715" s="2" t="s">
        <v>14</v>
      </c>
      <c r="D715" s="2" t="s">
        <v>15</v>
      </c>
      <c r="E715" s="2" t="s">
        <v>23</v>
      </c>
      <c r="F715" s="3">
        <f>+5491131550887</f>
        <v>5491131550887</v>
      </c>
      <c r="G715" s="2" t="s">
        <v>3090</v>
      </c>
      <c r="H715" s="2" t="s">
        <v>25</v>
      </c>
      <c r="I715" s="2" t="s">
        <v>78</v>
      </c>
      <c r="J715" s="2" t="s">
        <v>3091</v>
      </c>
      <c r="K715" s="4">
        <v>46132.0</v>
      </c>
      <c r="L715" s="2" t="s">
        <v>3092</v>
      </c>
    </row>
    <row r="716">
      <c r="A716" s="2" t="s">
        <v>3093</v>
      </c>
      <c r="B716" s="2" t="s">
        <v>3094</v>
      </c>
      <c r="C716" s="2" t="s">
        <v>14</v>
      </c>
      <c r="D716" s="2" t="s">
        <v>15</v>
      </c>
      <c r="E716" s="2" t="s">
        <v>16</v>
      </c>
      <c r="F716" s="3">
        <f>+54911390944397</f>
        <v>54911390944397</v>
      </c>
      <c r="G716" s="2" t="s">
        <v>3095</v>
      </c>
      <c r="H716" s="2" t="s">
        <v>32</v>
      </c>
      <c r="I716" s="2" t="s">
        <v>25</v>
      </c>
      <c r="J716" s="2" t="s">
        <v>1037</v>
      </c>
      <c r="K716" s="4">
        <v>46132.0</v>
      </c>
      <c r="L716" s="2" t="s">
        <v>3096</v>
      </c>
    </row>
    <row r="717">
      <c r="A717" s="2" t="s">
        <v>3097</v>
      </c>
      <c r="B717" s="2" t="s">
        <v>3098</v>
      </c>
      <c r="C717" s="2" t="s">
        <v>14</v>
      </c>
      <c r="D717" s="2" t="s">
        <v>15</v>
      </c>
      <c r="E717" s="2" t="s">
        <v>23</v>
      </c>
      <c r="F717" s="3">
        <f>+5491130986565</f>
        <v>5491130986565</v>
      </c>
      <c r="G717" s="2" t="s">
        <v>3099</v>
      </c>
      <c r="H717" s="2" t="s">
        <v>32</v>
      </c>
      <c r="I717" s="2" t="s">
        <v>25</v>
      </c>
      <c r="J717" s="2" t="s">
        <v>897</v>
      </c>
      <c r="K717" s="4">
        <v>46132.0</v>
      </c>
      <c r="L717" s="2" t="s">
        <v>3100</v>
      </c>
    </row>
    <row r="718">
      <c r="A718" s="2" t="s">
        <v>3101</v>
      </c>
      <c r="B718" s="2" t="s">
        <v>3102</v>
      </c>
      <c r="C718" s="2" t="s">
        <v>14</v>
      </c>
      <c r="D718" s="2" t="s">
        <v>15</v>
      </c>
      <c r="E718" s="2" t="s">
        <v>23</v>
      </c>
      <c r="F718" s="3">
        <f>+5491138080003</f>
        <v>5491138080003</v>
      </c>
      <c r="G718" s="2" t="s">
        <v>3103</v>
      </c>
      <c r="H718" s="2" t="s">
        <v>32</v>
      </c>
      <c r="I718" s="2" t="s">
        <v>25</v>
      </c>
      <c r="J718" s="2" t="s">
        <v>143</v>
      </c>
      <c r="K718" s="4">
        <v>46132.0</v>
      </c>
      <c r="L718" s="2" t="s">
        <v>3104</v>
      </c>
    </row>
    <row r="719">
      <c r="A719" s="2" t="s">
        <v>3105</v>
      </c>
      <c r="B719" s="2" t="s">
        <v>3106</v>
      </c>
      <c r="C719" s="2" t="s">
        <v>14</v>
      </c>
      <c r="D719" s="2" t="s">
        <v>15</v>
      </c>
      <c r="E719" s="2" t="s">
        <v>23</v>
      </c>
      <c r="F719" s="3">
        <f>+5491166720310</f>
        <v>5491166720310</v>
      </c>
      <c r="G719" s="2" t="s">
        <v>3107</v>
      </c>
      <c r="H719" s="2" t="s">
        <v>25</v>
      </c>
      <c r="I719" s="2" t="s">
        <v>78</v>
      </c>
      <c r="J719" s="2" t="s">
        <v>3108</v>
      </c>
      <c r="K719" s="4">
        <v>46132.0</v>
      </c>
      <c r="L719" s="2" t="s">
        <v>3109</v>
      </c>
    </row>
    <row r="720">
      <c r="A720" s="2" t="s">
        <v>3110</v>
      </c>
      <c r="B720" s="2" t="s">
        <v>3111</v>
      </c>
      <c r="C720" s="2" t="s">
        <v>14</v>
      </c>
      <c r="D720" s="2" t="s">
        <v>15</v>
      </c>
      <c r="E720" s="2" t="s">
        <v>23</v>
      </c>
      <c r="F720" s="3">
        <f>+5491136080833</f>
        <v>5491136080833</v>
      </c>
      <c r="G720" s="2" t="s">
        <v>3112</v>
      </c>
      <c r="H720" s="2" t="s">
        <v>25</v>
      </c>
      <c r="I720" s="2" t="s">
        <v>97</v>
      </c>
      <c r="J720" s="2" t="s">
        <v>97</v>
      </c>
      <c r="K720" s="4">
        <v>46132.0</v>
      </c>
      <c r="L720" s="2" t="s">
        <v>3113</v>
      </c>
    </row>
    <row r="721">
      <c r="A721" s="2" t="s">
        <v>3114</v>
      </c>
      <c r="B721" s="2" t="s">
        <v>3115</v>
      </c>
      <c r="C721" s="2" t="s">
        <v>14</v>
      </c>
      <c r="D721" s="2" t="s">
        <v>15</v>
      </c>
      <c r="E721" s="2" t="s">
        <v>16</v>
      </c>
      <c r="F721" s="3">
        <f>+54911390944397</f>
        <v>54911390944397</v>
      </c>
      <c r="G721" s="2" t="s">
        <v>3116</v>
      </c>
      <c r="H721" s="2" t="s">
        <v>32</v>
      </c>
      <c r="I721" s="2" t="s">
        <v>25</v>
      </c>
      <c r="J721" s="2" t="s">
        <v>707</v>
      </c>
      <c r="K721" s="4">
        <v>46132.0</v>
      </c>
      <c r="L721" s="2" t="s">
        <v>3117</v>
      </c>
    </row>
    <row r="722">
      <c r="A722" s="2" t="s">
        <v>3118</v>
      </c>
      <c r="B722" s="2" t="s">
        <v>3119</v>
      </c>
      <c r="C722" s="2" t="s">
        <v>14</v>
      </c>
      <c r="D722" s="2" t="s">
        <v>15</v>
      </c>
      <c r="E722" s="2" t="s">
        <v>23</v>
      </c>
      <c r="F722" s="3">
        <f>+5491169346090</f>
        <v>5491169346090</v>
      </c>
      <c r="G722" s="2" t="s">
        <v>3120</v>
      </c>
      <c r="H722" s="2" t="s">
        <v>25</v>
      </c>
      <c r="I722" s="2" t="s">
        <v>203</v>
      </c>
      <c r="J722" s="2" t="s">
        <v>3121</v>
      </c>
      <c r="K722" s="4">
        <v>46132.0</v>
      </c>
      <c r="L722" s="2" t="s">
        <v>3122</v>
      </c>
    </row>
    <row r="723">
      <c r="A723" s="2" t="s">
        <v>3123</v>
      </c>
      <c r="B723" s="2" t="s">
        <v>3124</v>
      </c>
      <c r="C723" s="2" t="s">
        <v>14</v>
      </c>
      <c r="D723" s="2" t="s">
        <v>15</v>
      </c>
      <c r="E723" s="2" t="s">
        <v>23</v>
      </c>
      <c r="F723" s="3">
        <f>+5491159820244</f>
        <v>5491159820244</v>
      </c>
      <c r="G723" s="2" t="s">
        <v>3125</v>
      </c>
      <c r="H723" s="2" t="s">
        <v>25</v>
      </c>
      <c r="I723" s="2" t="s">
        <v>38</v>
      </c>
      <c r="J723" s="2" t="s">
        <v>103</v>
      </c>
      <c r="K723" s="4">
        <v>46132.0</v>
      </c>
      <c r="L723" s="2" t="s">
        <v>3126</v>
      </c>
    </row>
    <row r="724">
      <c r="A724" s="2" t="s">
        <v>3127</v>
      </c>
      <c r="B724" s="2" t="s">
        <v>3128</v>
      </c>
      <c r="C724" s="2" t="s">
        <v>14</v>
      </c>
      <c r="D724" s="2" t="s">
        <v>15</v>
      </c>
      <c r="E724" s="2" t="s">
        <v>23</v>
      </c>
      <c r="F724" s="3">
        <f>+5491166958939</f>
        <v>5491166958939</v>
      </c>
      <c r="G724" s="2" t="s">
        <v>3129</v>
      </c>
      <c r="H724" s="2" t="s">
        <v>32</v>
      </c>
      <c r="I724" s="2" t="s">
        <v>25</v>
      </c>
      <c r="J724" s="2" t="s">
        <v>559</v>
      </c>
      <c r="K724" s="4">
        <v>46132.0</v>
      </c>
      <c r="L724" s="2" t="s">
        <v>3130</v>
      </c>
    </row>
    <row r="725">
      <c r="A725" s="2" t="s">
        <v>3131</v>
      </c>
      <c r="B725" s="2" t="s">
        <v>3132</v>
      </c>
      <c r="C725" s="2" t="s">
        <v>14</v>
      </c>
      <c r="D725" s="2" t="s">
        <v>15</v>
      </c>
      <c r="E725" s="2" t="s">
        <v>23</v>
      </c>
      <c r="F725" s="3">
        <f>+5491154177103</f>
        <v>5491154177103</v>
      </c>
      <c r="G725" s="2" t="s">
        <v>3133</v>
      </c>
      <c r="H725" s="2" t="s">
        <v>25</v>
      </c>
      <c r="I725" s="2" t="s">
        <v>26</v>
      </c>
      <c r="J725" s="2" t="s">
        <v>455</v>
      </c>
      <c r="K725" s="4">
        <v>46132.0</v>
      </c>
      <c r="L725" s="2" t="s">
        <v>3134</v>
      </c>
    </row>
    <row r="726">
      <c r="A726" s="2" t="s">
        <v>3135</v>
      </c>
      <c r="B726" s="2" t="s">
        <v>3136</v>
      </c>
      <c r="C726" s="2" t="s">
        <v>14</v>
      </c>
      <c r="D726" s="2" t="s">
        <v>15</v>
      </c>
      <c r="E726" s="2" t="s">
        <v>23</v>
      </c>
      <c r="F726" s="3">
        <f>+5493412004773</f>
        <v>5493412004773</v>
      </c>
      <c r="G726" s="2" t="s">
        <v>3137</v>
      </c>
      <c r="H726" s="2" t="s">
        <v>65</v>
      </c>
      <c r="I726" s="2" t="s">
        <v>218</v>
      </c>
      <c r="J726" s="2" t="s">
        <v>594</v>
      </c>
      <c r="K726" s="4">
        <v>46132.0</v>
      </c>
      <c r="L726" s="2" t="s">
        <v>3138</v>
      </c>
    </row>
    <row r="727">
      <c r="A727" s="2" t="s">
        <v>3139</v>
      </c>
      <c r="B727" s="2" t="s">
        <v>3140</v>
      </c>
      <c r="C727" s="2" t="s">
        <v>14</v>
      </c>
      <c r="D727" s="2" t="s">
        <v>15</v>
      </c>
      <c r="E727" s="2" t="s">
        <v>23</v>
      </c>
      <c r="F727" s="3">
        <f>+5491159820244</f>
        <v>5491159820244</v>
      </c>
      <c r="G727" s="2" t="s">
        <v>3125</v>
      </c>
      <c r="H727" s="2" t="s">
        <v>25</v>
      </c>
      <c r="I727" s="2" t="s">
        <v>38</v>
      </c>
      <c r="J727" s="2" t="s">
        <v>103</v>
      </c>
      <c r="K727" s="4">
        <v>46132.0</v>
      </c>
      <c r="L727" s="2" t="s">
        <v>3126</v>
      </c>
    </row>
    <row r="728">
      <c r="A728" s="2" t="s">
        <v>3141</v>
      </c>
      <c r="B728" s="2" t="s">
        <v>3142</v>
      </c>
      <c r="C728" s="2" t="s">
        <v>14</v>
      </c>
      <c r="D728" s="2" t="s">
        <v>15</v>
      </c>
      <c r="E728" s="2" t="s">
        <v>23</v>
      </c>
      <c r="F728" s="3">
        <f>+5493874863073</f>
        <v>5493874863073</v>
      </c>
      <c r="G728" s="2" t="s">
        <v>3143</v>
      </c>
      <c r="H728" s="2" t="s">
        <v>725</v>
      </c>
      <c r="I728" s="2" t="s">
        <v>725</v>
      </c>
      <c r="J728" s="2" t="s">
        <v>1258</v>
      </c>
      <c r="K728" s="4">
        <v>46132.0</v>
      </c>
      <c r="L728" s="2" t="s">
        <v>3144</v>
      </c>
    </row>
    <row r="729">
      <c r="A729" s="2" t="s">
        <v>3145</v>
      </c>
      <c r="B729" s="2" t="s">
        <v>3146</v>
      </c>
      <c r="C729" s="2" t="s">
        <v>14</v>
      </c>
      <c r="D729" s="2" t="s">
        <v>15</v>
      </c>
      <c r="E729" s="2" t="s">
        <v>23</v>
      </c>
      <c r="F729" s="3">
        <f>+5491149690111</f>
        <v>5491149690111</v>
      </c>
      <c r="G729" s="2" t="s">
        <v>3147</v>
      </c>
      <c r="H729" s="2" t="s">
        <v>25</v>
      </c>
      <c r="I729" s="2" t="s">
        <v>550</v>
      </c>
      <c r="J729" s="2" t="s">
        <v>3148</v>
      </c>
      <c r="K729" s="4">
        <v>46132.0</v>
      </c>
      <c r="L729" s="2" t="s">
        <v>3149</v>
      </c>
    </row>
    <row r="730">
      <c r="A730" s="2" t="s">
        <v>3150</v>
      </c>
      <c r="B730" s="2" t="s">
        <v>3151</v>
      </c>
      <c r="C730" s="2" t="s">
        <v>14</v>
      </c>
      <c r="D730" s="2" t="s">
        <v>15</v>
      </c>
      <c r="E730" s="2" t="s">
        <v>23</v>
      </c>
      <c r="F730" s="3">
        <f>+5491141421459</f>
        <v>5491141421459</v>
      </c>
      <c r="G730" s="2" t="s">
        <v>3152</v>
      </c>
      <c r="H730" s="2" t="s">
        <v>25</v>
      </c>
      <c r="I730" s="2" t="s">
        <v>550</v>
      </c>
      <c r="J730" s="2" t="s">
        <v>3148</v>
      </c>
      <c r="K730" s="4">
        <v>46132.0</v>
      </c>
      <c r="L730" s="2" t="s">
        <v>3153</v>
      </c>
    </row>
    <row r="731">
      <c r="A731" s="2" t="s">
        <v>3154</v>
      </c>
      <c r="B731" s="2" t="s">
        <v>3155</v>
      </c>
      <c r="C731" s="2" t="s">
        <v>14</v>
      </c>
      <c r="D731" s="2" t="s">
        <v>15</v>
      </c>
      <c r="E731" s="2" t="s">
        <v>23</v>
      </c>
      <c r="F731" s="3">
        <f>+5491136973246</f>
        <v>5491136973246</v>
      </c>
      <c r="G731" s="2" t="s">
        <v>3156</v>
      </c>
      <c r="H731" s="2" t="s">
        <v>25</v>
      </c>
      <c r="I731" s="2" t="s">
        <v>309</v>
      </c>
      <c r="J731" s="2" t="s">
        <v>1449</v>
      </c>
      <c r="K731" s="4">
        <v>46132.0</v>
      </c>
      <c r="L731" s="2" t="s">
        <v>3157</v>
      </c>
    </row>
    <row r="732">
      <c r="A732" s="2" t="s">
        <v>3158</v>
      </c>
      <c r="B732" s="2" t="s">
        <v>3159</v>
      </c>
      <c r="C732" s="2" t="s">
        <v>14</v>
      </c>
      <c r="D732" s="2" t="s">
        <v>15</v>
      </c>
      <c r="E732" s="2" t="s">
        <v>16</v>
      </c>
      <c r="F732" s="3">
        <f>+5491135601402</f>
        <v>5491135601402</v>
      </c>
      <c r="G732" s="2" t="s">
        <v>3160</v>
      </c>
      <c r="H732" s="2" t="s">
        <v>25</v>
      </c>
      <c r="I732" s="2" t="s">
        <v>203</v>
      </c>
      <c r="J732" s="2" t="s">
        <v>204</v>
      </c>
      <c r="K732" s="4">
        <v>46132.0</v>
      </c>
      <c r="L732" s="2" t="s">
        <v>3161</v>
      </c>
    </row>
    <row r="733">
      <c r="A733" s="2" t="s">
        <v>3162</v>
      </c>
      <c r="B733" s="2" t="s">
        <v>3163</v>
      </c>
      <c r="C733" s="2" t="s">
        <v>14</v>
      </c>
      <c r="D733" s="2" t="s">
        <v>15</v>
      </c>
      <c r="E733" s="2" t="s">
        <v>23</v>
      </c>
      <c r="F733" s="3">
        <f>+5491153781981</f>
        <v>5491153781981</v>
      </c>
      <c r="G733" s="2" t="s">
        <v>3164</v>
      </c>
      <c r="H733" s="2" t="s">
        <v>25</v>
      </c>
      <c r="I733" s="2" t="s">
        <v>44</v>
      </c>
      <c r="J733" s="2" t="s">
        <v>1901</v>
      </c>
      <c r="K733" s="4">
        <v>46132.0</v>
      </c>
      <c r="L733" s="2" t="s">
        <v>3165</v>
      </c>
    </row>
    <row r="734">
      <c r="A734" s="2" t="s">
        <v>3166</v>
      </c>
      <c r="B734" s="2" t="s">
        <v>3167</v>
      </c>
      <c r="C734" s="2" t="s">
        <v>14</v>
      </c>
      <c r="D734" s="2" t="s">
        <v>15</v>
      </c>
      <c r="E734" s="2" t="s">
        <v>16</v>
      </c>
      <c r="F734" s="3">
        <f>+5491111111111</f>
        <v>5491111111111</v>
      </c>
      <c r="G734" s="2" t="s">
        <v>3168</v>
      </c>
      <c r="H734" s="2" t="s">
        <v>25</v>
      </c>
      <c r="I734" s="2" t="s">
        <v>236</v>
      </c>
      <c r="J734" s="2" t="s">
        <v>236</v>
      </c>
      <c r="K734" s="4">
        <v>46132.0</v>
      </c>
      <c r="L734" s="2" t="s">
        <v>3169</v>
      </c>
    </row>
    <row r="735">
      <c r="A735" s="2" t="s">
        <v>3170</v>
      </c>
      <c r="B735" s="2" t="s">
        <v>3171</v>
      </c>
      <c r="C735" s="2" t="s">
        <v>14</v>
      </c>
      <c r="D735" s="2" t="s">
        <v>15</v>
      </c>
      <c r="E735" s="2" t="s">
        <v>16</v>
      </c>
      <c r="F735" s="3">
        <f>+5491147112000</f>
        <v>5491147112000</v>
      </c>
      <c r="G735" s="2" t="s">
        <v>3172</v>
      </c>
      <c r="H735" s="2" t="s">
        <v>25</v>
      </c>
      <c r="I735" s="2" t="s">
        <v>84</v>
      </c>
      <c r="J735" s="2" t="s">
        <v>2078</v>
      </c>
      <c r="K735" s="4">
        <v>46132.0</v>
      </c>
      <c r="L735" s="2" t="s">
        <v>3173</v>
      </c>
    </row>
    <row r="736">
      <c r="A736" s="2" t="s">
        <v>3174</v>
      </c>
      <c r="B736" s="2" t="s">
        <v>3175</v>
      </c>
      <c r="C736" s="2" t="s">
        <v>14</v>
      </c>
      <c r="D736" s="2" t="s">
        <v>15</v>
      </c>
      <c r="E736" s="2" t="s">
        <v>23</v>
      </c>
      <c r="F736" s="3">
        <f>+5491138656910</f>
        <v>5491138656910</v>
      </c>
      <c r="G736" s="2" t="s">
        <v>3176</v>
      </c>
      <c r="H736" s="2" t="s">
        <v>25</v>
      </c>
      <c r="I736" s="2" t="s">
        <v>38</v>
      </c>
      <c r="J736" s="2" t="s">
        <v>103</v>
      </c>
      <c r="K736" s="4">
        <v>46132.0</v>
      </c>
      <c r="L736" s="2" t="s">
        <v>3177</v>
      </c>
    </row>
    <row r="737">
      <c r="A737" s="2" t="s">
        <v>3178</v>
      </c>
      <c r="B737" s="2" t="s">
        <v>3179</v>
      </c>
      <c r="C737" s="2" t="s">
        <v>14</v>
      </c>
      <c r="D737" s="2" t="s">
        <v>15</v>
      </c>
      <c r="E737" s="2" t="s">
        <v>23</v>
      </c>
      <c r="F737" s="3">
        <f>+5492214545226</f>
        <v>5492214545226</v>
      </c>
      <c r="G737" s="2" t="s">
        <v>3180</v>
      </c>
      <c r="H737" s="2" t="s">
        <v>25</v>
      </c>
      <c r="I737" s="2" t="s">
        <v>44</v>
      </c>
      <c r="J737" s="2" t="s">
        <v>44</v>
      </c>
      <c r="K737" s="4">
        <v>46132.0</v>
      </c>
      <c r="L737" s="2" t="s">
        <v>3181</v>
      </c>
    </row>
    <row r="738">
      <c r="A738" s="2" t="s">
        <v>3182</v>
      </c>
      <c r="B738" s="2" t="s">
        <v>3183</v>
      </c>
      <c r="C738" s="2" t="s">
        <v>14</v>
      </c>
      <c r="D738" s="2" t="s">
        <v>15</v>
      </c>
      <c r="E738" s="2" t="s">
        <v>16</v>
      </c>
      <c r="F738" s="3">
        <f t="shared" ref="F738:F739" si="11">+5491159820244</f>
        <v>5491159820244</v>
      </c>
      <c r="G738" s="2" t="s">
        <v>3125</v>
      </c>
      <c r="H738" s="2" t="s">
        <v>25</v>
      </c>
      <c r="I738" s="2" t="s">
        <v>38</v>
      </c>
      <c r="J738" s="2" t="s">
        <v>103</v>
      </c>
      <c r="K738" s="4">
        <v>46132.0</v>
      </c>
      <c r="L738" s="2" t="s">
        <v>3126</v>
      </c>
    </row>
    <row r="739">
      <c r="A739" s="2" t="s">
        <v>3184</v>
      </c>
      <c r="B739" s="2" t="s">
        <v>3185</v>
      </c>
      <c r="C739" s="2" t="s">
        <v>14</v>
      </c>
      <c r="D739" s="2" t="s">
        <v>15</v>
      </c>
      <c r="E739" s="2" t="s">
        <v>23</v>
      </c>
      <c r="F739" s="3">
        <f t="shared" si="11"/>
        <v>5491159820244</v>
      </c>
      <c r="G739" s="2" t="s">
        <v>3125</v>
      </c>
      <c r="H739" s="2" t="s">
        <v>25</v>
      </c>
      <c r="I739" s="2" t="s">
        <v>38</v>
      </c>
      <c r="J739" s="2" t="s">
        <v>103</v>
      </c>
      <c r="K739" s="4">
        <v>46132.0</v>
      </c>
      <c r="L739" s="2" t="s">
        <v>3126</v>
      </c>
    </row>
    <row r="740">
      <c r="A740" s="2" t="s">
        <v>3186</v>
      </c>
      <c r="B740" s="2" t="s">
        <v>3187</v>
      </c>
      <c r="C740" s="2" t="s">
        <v>14</v>
      </c>
      <c r="D740" s="2" t="s">
        <v>15</v>
      </c>
      <c r="E740" s="2" t="s">
        <v>23</v>
      </c>
      <c r="F740" s="3">
        <f>+5491131550887</f>
        <v>5491131550887</v>
      </c>
      <c r="G740" s="2" t="s">
        <v>3188</v>
      </c>
      <c r="H740" s="2" t="s">
        <v>25</v>
      </c>
      <c r="I740" s="2" t="s">
        <v>78</v>
      </c>
      <c r="J740" s="2" t="s">
        <v>78</v>
      </c>
      <c r="K740" s="4">
        <v>46132.0</v>
      </c>
      <c r="L740" s="2" t="s">
        <v>3189</v>
      </c>
    </row>
    <row r="741">
      <c r="A741" s="2" t="s">
        <v>3190</v>
      </c>
      <c r="B741" s="2" t="s">
        <v>3191</v>
      </c>
      <c r="C741" s="2" t="s">
        <v>14</v>
      </c>
      <c r="D741" s="2" t="s">
        <v>15</v>
      </c>
      <c r="E741" s="2" t="s">
        <v>23</v>
      </c>
      <c r="F741" s="3">
        <f>+5491165590007</f>
        <v>5491165590007</v>
      </c>
      <c r="G741" s="2" t="s">
        <v>3192</v>
      </c>
      <c r="H741" s="2" t="s">
        <v>25</v>
      </c>
      <c r="I741" s="2" t="s">
        <v>49</v>
      </c>
      <c r="J741" s="2" t="s">
        <v>1631</v>
      </c>
      <c r="K741" s="4">
        <v>46132.0</v>
      </c>
      <c r="L741" s="2" t="s">
        <v>3193</v>
      </c>
    </row>
    <row r="742">
      <c r="A742" s="2" t="s">
        <v>3194</v>
      </c>
      <c r="B742" s="2" t="s">
        <v>3195</v>
      </c>
      <c r="C742" s="2" t="s">
        <v>14</v>
      </c>
      <c r="D742" s="2" t="s">
        <v>15</v>
      </c>
      <c r="E742" s="2" t="s">
        <v>23</v>
      </c>
      <c r="F742" s="3">
        <f>+5492235327159</f>
        <v>5492235327159</v>
      </c>
      <c r="G742" s="2" t="s">
        <v>3196</v>
      </c>
      <c r="H742" s="2" t="s">
        <v>25</v>
      </c>
      <c r="I742" s="2" t="s">
        <v>649</v>
      </c>
      <c r="J742" s="2" t="s">
        <v>659</v>
      </c>
      <c r="K742" s="4">
        <v>46132.0</v>
      </c>
      <c r="L742" s="2" t="s">
        <v>3197</v>
      </c>
    </row>
    <row r="743">
      <c r="A743" s="2" t="s">
        <v>3198</v>
      </c>
      <c r="B743" s="2" t="s">
        <v>3199</v>
      </c>
      <c r="C743" s="2" t="s">
        <v>14</v>
      </c>
      <c r="D743" s="2" t="s">
        <v>15</v>
      </c>
      <c r="E743" s="2" t="s">
        <v>23</v>
      </c>
      <c r="F743" s="3">
        <f>+5491131630351</f>
        <v>5491131630351</v>
      </c>
      <c r="G743" s="2" t="s">
        <v>3200</v>
      </c>
      <c r="H743" s="2" t="s">
        <v>25</v>
      </c>
      <c r="I743" s="2" t="s">
        <v>118</v>
      </c>
      <c r="J743" s="2" t="s">
        <v>124</v>
      </c>
      <c r="K743" s="4">
        <v>46132.0</v>
      </c>
      <c r="L743" s="2" t="s">
        <v>3201</v>
      </c>
    </row>
    <row r="744">
      <c r="A744" s="2" t="s">
        <v>3202</v>
      </c>
      <c r="B744" s="2" t="s">
        <v>3203</v>
      </c>
      <c r="C744" s="2" t="s">
        <v>14</v>
      </c>
      <c r="D744" s="2" t="s">
        <v>15</v>
      </c>
      <c r="E744" s="2" t="s">
        <v>23</v>
      </c>
      <c r="F744" s="3">
        <f>+5491139418630</f>
        <v>5491139418630</v>
      </c>
      <c r="G744" s="2" t="s">
        <v>3204</v>
      </c>
      <c r="H744" s="2" t="s">
        <v>25</v>
      </c>
      <c r="I744" s="2" t="s">
        <v>1378</v>
      </c>
      <c r="J744" s="2" t="s">
        <v>1378</v>
      </c>
      <c r="K744" s="4">
        <v>46132.0</v>
      </c>
      <c r="L744" s="2" t="s">
        <v>3205</v>
      </c>
    </row>
    <row r="745">
      <c r="A745" s="2" t="s">
        <v>3206</v>
      </c>
      <c r="B745" s="2" t="s">
        <v>3207</v>
      </c>
      <c r="C745" s="2" t="s">
        <v>14</v>
      </c>
      <c r="D745" s="2" t="s">
        <v>15</v>
      </c>
      <c r="E745" s="2" t="s">
        <v>23</v>
      </c>
      <c r="F745" s="3">
        <f>+5492612455027</f>
        <v>5492612455027</v>
      </c>
      <c r="G745" s="2" t="s">
        <v>3208</v>
      </c>
      <c r="H745" s="2" t="s">
        <v>71</v>
      </c>
      <c r="I745" s="2" t="s">
        <v>72</v>
      </c>
      <c r="J745" s="2" t="s">
        <v>398</v>
      </c>
      <c r="K745" s="4">
        <v>46132.0</v>
      </c>
      <c r="L745" s="2" t="s">
        <v>3209</v>
      </c>
    </row>
    <row r="746">
      <c r="A746" s="2" t="s">
        <v>3210</v>
      </c>
      <c r="B746" s="2" t="s">
        <v>3211</v>
      </c>
      <c r="C746" s="2" t="s">
        <v>14</v>
      </c>
      <c r="D746" s="2" t="s">
        <v>15</v>
      </c>
      <c r="E746" s="2" t="s">
        <v>16</v>
      </c>
      <c r="F746" s="3">
        <f>+5491150526654</f>
        <v>5491150526654</v>
      </c>
      <c r="G746" s="2" t="s">
        <v>3212</v>
      </c>
      <c r="H746" s="2" t="s">
        <v>32</v>
      </c>
      <c r="I746" s="2" t="s">
        <v>25</v>
      </c>
      <c r="J746" s="2" t="s">
        <v>702</v>
      </c>
      <c r="K746" s="4">
        <v>46132.0</v>
      </c>
      <c r="L746" s="2" t="s">
        <v>3213</v>
      </c>
    </row>
    <row r="747">
      <c r="A747" s="2" t="s">
        <v>3214</v>
      </c>
      <c r="B747" s="2" t="s">
        <v>3215</v>
      </c>
      <c r="C747" s="2" t="s">
        <v>14</v>
      </c>
      <c r="D747" s="2" t="s">
        <v>15</v>
      </c>
      <c r="E747" s="2" t="s">
        <v>23</v>
      </c>
      <c r="F747" s="3">
        <f>+5491122638926</f>
        <v>5491122638926</v>
      </c>
      <c r="G747" s="2" t="s">
        <v>3216</v>
      </c>
      <c r="H747" s="2" t="s">
        <v>25</v>
      </c>
      <c r="I747" s="2" t="s">
        <v>314</v>
      </c>
      <c r="J747" s="2" t="s">
        <v>1075</v>
      </c>
      <c r="K747" s="4">
        <v>46132.0</v>
      </c>
      <c r="L747" s="2" t="s">
        <v>3217</v>
      </c>
    </row>
    <row r="748">
      <c r="A748" s="2" t="s">
        <v>3218</v>
      </c>
      <c r="B748" s="2" t="s">
        <v>3219</v>
      </c>
      <c r="C748" s="2" t="s">
        <v>14</v>
      </c>
      <c r="D748" s="2" t="s">
        <v>15</v>
      </c>
      <c r="E748" s="2" t="s">
        <v>23</v>
      </c>
      <c r="F748" s="3">
        <f>+5493815551359</f>
        <v>5493815551359</v>
      </c>
      <c r="G748" s="2" t="s">
        <v>3220</v>
      </c>
      <c r="H748" s="2" t="s">
        <v>55</v>
      </c>
      <c r="I748" s="2" t="s">
        <v>883</v>
      </c>
      <c r="J748" s="2" t="s">
        <v>2459</v>
      </c>
      <c r="K748" s="4">
        <v>46132.0</v>
      </c>
      <c r="L748" s="2" t="s">
        <v>3221</v>
      </c>
    </row>
    <row r="749">
      <c r="A749" s="2" t="s">
        <v>3222</v>
      </c>
      <c r="B749" s="2" t="s">
        <v>3223</v>
      </c>
      <c r="C749" s="2" t="s">
        <v>14</v>
      </c>
      <c r="D749" s="2" t="s">
        <v>15</v>
      </c>
      <c r="E749" s="2" t="s">
        <v>23</v>
      </c>
      <c r="F749" s="3">
        <f>+5491140969771</f>
        <v>5491140969771</v>
      </c>
      <c r="G749" s="2" t="s">
        <v>3224</v>
      </c>
      <c r="H749" s="2" t="s">
        <v>25</v>
      </c>
      <c r="I749" s="2" t="s">
        <v>314</v>
      </c>
      <c r="J749" s="2" t="s">
        <v>314</v>
      </c>
      <c r="K749" s="4">
        <v>46132.0</v>
      </c>
      <c r="L749" s="2" t="s">
        <v>3225</v>
      </c>
    </row>
    <row r="750">
      <c r="A750" s="2" t="s">
        <v>3226</v>
      </c>
      <c r="B750" s="2" t="s">
        <v>3227</v>
      </c>
      <c r="C750" s="2" t="s">
        <v>14</v>
      </c>
      <c r="D750" s="2" t="s">
        <v>15</v>
      </c>
      <c r="E750" s="2" t="s">
        <v>23</v>
      </c>
      <c r="F750" s="3">
        <f>+5491164825208</f>
        <v>5491164825208</v>
      </c>
      <c r="G750" s="2" t="s">
        <v>3228</v>
      </c>
      <c r="H750" s="2" t="s">
        <v>25</v>
      </c>
      <c r="I750" s="2" t="s">
        <v>236</v>
      </c>
      <c r="J750" s="2" t="s">
        <v>236</v>
      </c>
      <c r="K750" s="4">
        <v>46132.0</v>
      </c>
      <c r="L750" s="2" t="s">
        <v>3229</v>
      </c>
    </row>
    <row r="751">
      <c r="A751" s="2" t="s">
        <v>3230</v>
      </c>
      <c r="B751" s="2" t="s">
        <v>3231</v>
      </c>
      <c r="C751" s="2" t="s">
        <v>14</v>
      </c>
      <c r="D751" s="2" t="s">
        <v>15</v>
      </c>
      <c r="E751" s="2" t="s">
        <v>23</v>
      </c>
      <c r="F751" s="3">
        <f>+5492235833689</f>
        <v>5492235833689</v>
      </c>
      <c r="G751" s="2" t="s">
        <v>3232</v>
      </c>
      <c r="H751" s="2" t="s">
        <v>25</v>
      </c>
      <c r="I751" s="2" t="s">
        <v>649</v>
      </c>
      <c r="J751" s="2" t="s">
        <v>3233</v>
      </c>
      <c r="K751" s="4">
        <v>46132.0</v>
      </c>
      <c r="L751" s="2" t="s">
        <v>3234</v>
      </c>
    </row>
    <row r="752">
      <c r="A752" s="2" t="s">
        <v>3235</v>
      </c>
      <c r="B752" s="2" t="s">
        <v>3236</v>
      </c>
      <c r="C752" s="2" t="s">
        <v>14</v>
      </c>
      <c r="D752" s="2" t="s">
        <v>15</v>
      </c>
      <c r="E752" s="2" t="s">
        <v>23</v>
      </c>
      <c r="F752" s="3">
        <f>+5492615717264</f>
        <v>5492615717264</v>
      </c>
      <c r="G752" s="2" t="s">
        <v>3237</v>
      </c>
      <c r="H752" s="2" t="s">
        <v>71</v>
      </c>
      <c r="I752" s="2" t="s">
        <v>1156</v>
      </c>
      <c r="J752" s="2" t="s">
        <v>2129</v>
      </c>
      <c r="K752" s="4">
        <v>46131.0</v>
      </c>
      <c r="L752" s="2" t="s">
        <v>3238</v>
      </c>
    </row>
    <row r="753">
      <c r="A753" s="2" t="s">
        <v>3239</v>
      </c>
      <c r="B753" s="2" t="s">
        <v>3240</v>
      </c>
      <c r="C753" s="2" t="s">
        <v>14</v>
      </c>
      <c r="D753" s="2" t="s">
        <v>15</v>
      </c>
      <c r="E753" s="2" t="s">
        <v>23</v>
      </c>
      <c r="F753" s="3">
        <f>+5491131892331</f>
        <v>5491131892331</v>
      </c>
      <c r="G753" s="2" t="s">
        <v>3241</v>
      </c>
      <c r="H753" s="2" t="s">
        <v>32</v>
      </c>
      <c r="I753" s="2" t="s">
        <v>25</v>
      </c>
      <c r="J753" s="2" t="s">
        <v>143</v>
      </c>
      <c r="K753" s="4">
        <v>46131.0</v>
      </c>
      <c r="L753" s="2" t="s">
        <v>3242</v>
      </c>
    </row>
    <row r="754">
      <c r="A754" s="2" t="s">
        <v>3243</v>
      </c>
      <c r="B754" s="2" t="s">
        <v>3244</v>
      </c>
      <c r="C754" s="2" t="s">
        <v>14</v>
      </c>
      <c r="D754" s="2" t="s">
        <v>15</v>
      </c>
      <c r="E754" s="2" t="s">
        <v>23</v>
      </c>
      <c r="F754" s="3">
        <f>+5491128639817</f>
        <v>5491128639817</v>
      </c>
      <c r="G754" s="2" t="s">
        <v>3245</v>
      </c>
      <c r="H754" s="2" t="s">
        <v>25</v>
      </c>
      <c r="I754" s="2" t="s">
        <v>78</v>
      </c>
      <c r="J754" s="2" t="s">
        <v>2251</v>
      </c>
      <c r="K754" s="4">
        <v>46131.0</v>
      </c>
      <c r="L754" s="2" t="s">
        <v>3246</v>
      </c>
    </row>
    <row r="755">
      <c r="A755" s="2" t="s">
        <v>3247</v>
      </c>
      <c r="B755" s="2" t="s">
        <v>3248</v>
      </c>
      <c r="C755" s="2" t="s">
        <v>14</v>
      </c>
      <c r="D755" s="2" t="s">
        <v>15</v>
      </c>
      <c r="E755" s="2" t="s">
        <v>23</v>
      </c>
      <c r="F755" s="3">
        <f>+5491171203280</f>
        <v>5491171203280</v>
      </c>
      <c r="G755" s="2" t="s">
        <v>3249</v>
      </c>
      <c r="H755" s="2" t="s">
        <v>32</v>
      </c>
      <c r="I755" s="2" t="s">
        <v>25</v>
      </c>
      <c r="J755" s="2" t="s">
        <v>3250</v>
      </c>
      <c r="K755" s="4">
        <v>46131.0</v>
      </c>
      <c r="L755" s="2" t="s">
        <v>3251</v>
      </c>
    </row>
    <row r="756">
      <c r="A756" s="2" t="s">
        <v>3252</v>
      </c>
      <c r="B756" s="2" t="s">
        <v>3253</v>
      </c>
      <c r="C756" s="2" t="s">
        <v>14</v>
      </c>
      <c r="D756" s="2" t="s">
        <v>15</v>
      </c>
      <c r="E756" s="2" t="s">
        <v>23</v>
      </c>
      <c r="F756" s="3">
        <f>+5491178289661</f>
        <v>5491178289661</v>
      </c>
      <c r="G756" s="2" t="s">
        <v>3254</v>
      </c>
      <c r="H756" s="2" t="s">
        <v>32</v>
      </c>
      <c r="I756" s="2" t="s">
        <v>25</v>
      </c>
      <c r="J756" s="2" t="s">
        <v>707</v>
      </c>
      <c r="K756" s="4">
        <v>46131.0</v>
      </c>
      <c r="L756" s="2" t="s">
        <v>3255</v>
      </c>
    </row>
    <row r="757">
      <c r="A757" s="2" t="s">
        <v>3256</v>
      </c>
      <c r="B757" s="2" t="s">
        <v>3257</v>
      </c>
      <c r="C757" s="2" t="s">
        <v>14</v>
      </c>
      <c r="D757" s="2" t="s">
        <v>15</v>
      </c>
      <c r="E757" s="2" t="s">
        <v>23</v>
      </c>
      <c r="F757" s="3">
        <f>+5493415913694</f>
        <v>5493415913694</v>
      </c>
      <c r="G757" s="2" t="s">
        <v>3258</v>
      </c>
      <c r="H757" s="2" t="s">
        <v>65</v>
      </c>
      <c r="I757" s="2" t="s">
        <v>218</v>
      </c>
      <c r="J757" s="2" t="s">
        <v>261</v>
      </c>
      <c r="K757" s="4">
        <v>46131.0</v>
      </c>
      <c r="L757" s="2" t="s">
        <v>3259</v>
      </c>
    </row>
    <row r="758">
      <c r="A758" s="2" t="s">
        <v>3260</v>
      </c>
      <c r="B758" s="2" t="s">
        <v>3261</v>
      </c>
      <c r="C758" s="2" t="s">
        <v>14</v>
      </c>
      <c r="D758" s="2" t="s">
        <v>15</v>
      </c>
      <c r="E758" s="2" t="s">
        <v>23</v>
      </c>
      <c r="F758" s="3">
        <f>+5491150534385</f>
        <v>5491150534385</v>
      </c>
      <c r="G758" s="2" t="s">
        <v>3262</v>
      </c>
      <c r="H758" s="2" t="s">
        <v>25</v>
      </c>
      <c r="I758" s="2" t="s">
        <v>357</v>
      </c>
      <c r="J758" s="2" t="s">
        <v>357</v>
      </c>
      <c r="K758" s="4">
        <v>46130.0</v>
      </c>
      <c r="L758" s="2" t="s">
        <v>3263</v>
      </c>
    </row>
    <row r="759">
      <c r="A759" s="2" t="s">
        <v>3264</v>
      </c>
      <c r="B759" s="2" t="s">
        <v>3265</v>
      </c>
      <c r="C759" s="2" t="s">
        <v>14</v>
      </c>
      <c r="D759" s="2" t="s">
        <v>15</v>
      </c>
      <c r="E759" s="2" t="s">
        <v>23</v>
      </c>
      <c r="F759" s="3">
        <f>+5493813671917</f>
        <v>5493813671917</v>
      </c>
      <c r="G759" s="2" t="s">
        <v>3266</v>
      </c>
      <c r="H759" s="2" t="s">
        <v>55</v>
      </c>
      <c r="I759" s="2" t="s">
        <v>56</v>
      </c>
      <c r="J759" s="2" t="s">
        <v>56</v>
      </c>
      <c r="K759" s="4">
        <v>46130.0</v>
      </c>
      <c r="L759" s="2" t="s">
        <v>3267</v>
      </c>
    </row>
    <row r="760">
      <c r="A760" s="2" t="s">
        <v>3268</v>
      </c>
      <c r="B760" s="2" t="s">
        <v>3269</v>
      </c>
      <c r="C760" s="2" t="s">
        <v>14</v>
      </c>
      <c r="D760" s="2" t="s">
        <v>15</v>
      </c>
      <c r="E760" s="2" t="s">
        <v>23</v>
      </c>
      <c r="F760" s="3">
        <f>+5491136382330</f>
        <v>5491136382330</v>
      </c>
      <c r="G760" s="2" t="s">
        <v>3270</v>
      </c>
      <c r="H760" s="2" t="s">
        <v>25</v>
      </c>
      <c r="I760" s="2" t="s">
        <v>160</v>
      </c>
      <c r="J760" s="2" t="s">
        <v>3271</v>
      </c>
      <c r="K760" s="4">
        <v>46130.0</v>
      </c>
      <c r="L760" s="2" t="s">
        <v>3272</v>
      </c>
    </row>
    <row r="761">
      <c r="A761" s="2" t="s">
        <v>3273</v>
      </c>
      <c r="B761" s="2" t="s">
        <v>3274</v>
      </c>
      <c r="C761" s="2" t="s">
        <v>14</v>
      </c>
      <c r="D761" s="2" t="s">
        <v>15</v>
      </c>
      <c r="E761" s="2" t="s">
        <v>23</v>
      </c>
      <c r="F761" s="3">
        <f>+5491135844473</f>
        <v>5491135844473</v>
      </c>
      <c r="G761" s="2" t="s">
        <v>3275</v>
      </c>
      <c r="H761" s="2" t="s">
        <v>25</v>
      </c>
      <c r="I761" s="2" t="s">
        <v>49</v>
      </c>
      <c r="J761" s="2" t="s">
        <v>2031</v>
      </c>
      <c r="K761" s="4">
        <v>46130.0</v>
      </c>
      <c r="L761" s="2" t="s">
        <v>3276</v>
      </c>
    </row>
    <row r="762">
      <c r="A762" s="2" t="s">
        <v>3277</v>
      </c>
      <c r="B762" s="2" t="s">
        <v>3278</v>
      </c>
      <c r="C762" s="2" t="s">
        <v>14</v>
      </c>
      <c r="D762" s="2" t="s">
        <v>15</v>
      </c>
      <c r="E762" s="2" t="s">
        <v>23</v>
      </c>
      <c r="F762" s="3">
        <f>+5491158353435</f>
        <v>5491158353435</v>
      </c>
      <c r="G762" s="2" t="s">
        <v>3279</v>
      </c>
      <c r="H762" s="2" t="s">
        <v>32</v>
      </c>
      <c r="I762" s="2" t="s">
        <v>25</v>
      </c>
      <c r="J762" s="2" t="s">
        <v>3280</v>
      </c>
      <c r="K762" s="4">
        <v>46130.0</v>
      </c>
      <c r="L762" s="2" t="s">
        <v>3281</v>
      </c>
    </row>
    <row r="763">
      <c r="A763" s="2" t="s">
        <v>3282</v>
      </c>
      <c r="B763" s="2" t="s">
        <v>3283</v>
      </c>
      <c r="C763" s="2" t="s">
        <v>14</v>
      </c>
      <c r="D763" s="2" t="s">
        <v>15</v>
      </c>
      <c r="E763" s="2" t="s">
        <v>23</v>
      </c>
      <c r="F763" s="3">
        <f>+5491122487474</f>
        <v>5491122487474</v>
      </c>
      <c r="G763" s="2" t="s">
        <v>3284</v>
      </c>
      <c r="H763" s="2" t="s">
        <v>25</v>
      </c>
      <c r="I763" s="2" t="s">
        <v>357</v>
      </c>
      <c r="J763" s="2" t="s">
        <v>358</v>
      </c>
      <c r="K763" s="4">
        <v>46130.0</v>
      </c>
      <c r="L763" s="2" t="s">
        <v>3285</v>
      </c>
    </row>
    <row r="764">
      <c r="A764" s="2" t="s">
        <v>3286</v>
      </c>
      <c r="B764" s="2" t="s">
        <v>3287</v>
      </c>
      <c r="C764" s="2" t="s">
        <v>14</v>
      </c>
      <c r="D764" s="2" t="s">
        <v>15</v>
      </c>
      <c r="E764" s="2" t="s">
        <v>16</v>
      </c>
      <c r="F764" s="3">
        <f>+5491150985511</f>
        <v>5491150985511</v>
      </c>
      <c r="G764" s="2" t="s">
        <v>3288</v>
      </c>
      <c r="H764" s="2" t="s">
        <v>32</v>
      </c>
      <c r="I764" s="2" t="s">
        <v>25</v>
      </c>
      <c r="J764" s="2" t="s">
        <v>266</v>
      </c>
      <c r="K764" s="4">
        <v>46130.0</v>
      </c>
      <c r="L764" s="2" t="s">
        <v>3289</v>
      </c>
    </row>
    <row r="765">
      <c r="A765" s="2" t="s">
        <v>3290</v>
      </c>
      <c r="B765" s="2" t="s">
        <v>3291</v>
      </c>
      <c r="C765" s="2" t="s">
        <v>14</v>
      </c>
      <c r="D765" s="2" t="s">
        <v>15</v>
      </c>
      <c r="E765" s="2" t="s">
        <v>23</v>
      </c>
      <c r="F765" s="3">
        <f>+5493515315984</f>
        <v>5493515315984</v>
      </c>
      <c r="G765" s="2" t="s">
        <v>3292</v>
      </c>
      <c r="H765" s="2" t="s">
        <v>18</v>
      </c>
      <c r="I765" s="2" t="s">
        <v>18</v>
      </c>
      <c r="J765" s="2" t="s">
        <v>3293</v>
      </c>
      <c r="K765" s="4">
        <v>46130.0</v>
      </c>
      <c r="L765" s="2" t="s">
        <v>3294</v>
      </c>
    </row>
    <row r="766">
      <c r="A766" s="2" t="s">
        <v>3295</v>
      </c>
      <c r="B766" s="2" t="s">
        <v>3296</v>
      </c>
      <c r="C766" s="2" t="s">
        <v>14</v>
      </c>
      <c r="D766" s="2" t="s">
        <v>15</v>
      </c>
      <c r="E766" s="2" t="s">
        <v>23</v>
      </c>
      <c r="F766" s="3">
        <f>+5493515164578</f>
        <v>5493515164578</v>
      </c>
      <c r="G766" s="2" t="s">
        <v>3297</v>
      </c>
      <c r="H766" s="2" t="s">
        <v>18</v>
      </c>
      <c r="I766" s="2" t="s">
        <v>18</v>
      </c>
      <c r="J766" s="2" t="s">
        <v>3298</v>
      </c>
      <c r="K766" s="4">
        <v>46130.0</v>
      </c>
      <c r="L766" s="2" t="s">
        <v>3299</v>
      </c>
    </row>
    <row r="767">
      <c r="A767" s="2" t="s">
        <v>3300</v>
      </c>
      <c r="B767" s="2" t="s">
        <v>3301</v>
      </c>
      <c r="C767" s="2" t="s">
        <v>14</v>
      </c>
      <c r="D767" s="2" t="s">
        <v>15</v>
      </c>
      <c r="E767" s="2" t="s">
        <v>23</v>
      </c>
      <c r="F767" s="3">
        <f>+5492616400612</f>
        <v>5492616400612</v>
      </c>
      <c r="G767" s="2" t="s">
        <v>3302</v>
      </c>
      <c r="H767" s="2" t="s">
        <v>71</v>
      </c>
      <c r="I767" s="2" t="s">
        <v>902</v>
      </c>
      <c r="J767" s="2" t="s">
        <v>903</v>
      </c>
      <c r="K767" s="4">
        <v>46130.0</v>
      </c>
      <c r="L767" s="2" t="s">
        <v>3303</v>
      </c>
    </row>
    <row r="768">
      <c r="A768" s="2" t="s">
        <v>3304</v>
      </c>
      <c r="B768" s="2" t="s">
        <v>3305</v>
      </c>
      <c r="C768" s="2" t="s">
        <v>14</v>
      </c>
      <c r="D768" s="2" t="s">
        <v>15</v>
      </c>
      <c r="E768" s="2" t="s">
        <v>23</v>
      </c>
      <c r="F768" s="3">
        <f>+5491162112125</f>
        <v>5491162112125</v>
      </c>
      <c r="G768" s="2" t="s">
        <v>3306</v>
      </c>
      <c r="H768" s="2" t="s">
        <v>25</v>
      </c>
      <c r="I768" s="2" t="s">
        <v>246</v>
      </c>
      <c r="J768" s="2" t="s">
        <v>299</v>
      </c>
      <c r="K768" s="4">
        <v>46130.0</v>
      </c>
      <c r="L768" s="2" t="s">
        <v>3307</v>
      </c>
    </row>
    <row r="769">
      <c r="A769" s="2" t="s">
        <v>3308</v>
      </c>
      <c r="B769" s="2" t="s">
        <v>3309</v>
      </c>
      <c r="C769" s="2" t="s">
        <v>14</v>
      </c>
      <c r="D769" s="2" t="s">
        <v>15</v>
      </c>
      <c r="E769" s="2" t="s">
        <v>16</v>
      </c>
      <c r="F769" s="3">
        <f>+5491136648698</f>
        <v>5491136648698</v>
      </c>
      <c r="G769" s="2" t="s">
        <v>3310</v>
      </c>
      <c r="H769" s="2" t="s">
        <v>32</v>
      </c>
      <c r="I769" s="2" t="s">
        <v>25</v>
      </c>
      <c r="J769" s="2" t="s">
        <v>143</v>
      </c>
      <c r="K769" s="4">
        <v>46129.0</v>
      </c>
      <c r="L769" s="2" t="s">
        <v>3311</v>
      </c>
    </row>
    <row r="770">
      <c r="A770" s="2" t="s">
        <v>3312</v>
      </c>
      <c r="B770" s="2" t="s">
        <v>3313</v>
      </c>
      <c r="C770" s="2" t="s">
        <v>14</v>
      </c>
      <c r="D770" s="2" t="s">
        <v>15</v>
      </c>
      <c r="E770" s="2" t="s">
        <v>16</v>
      </c>
      <c r="F770" s="3">
        <f>+5493416102207</f>
        <v>5493416102207</v>
      </c>
      <c r="G770" s="2" t="s">
        <v>3314</v>
      </c>
      <c r="H770" s="2" t="s">
        <v>65</v>
      </c>
      <c r="I770" s="2" t="s">
        <v>218</v>
      </c>
      <c r="J770" s="2" t="s">
        <v>2260</v>
      </c>
      <c r="K770" s="4">
        <v>46129.0</v>
      </c>
      <c r="L770" s="2" t="s">
        <v>3315</v>
      </c>
    </row>
    <row r="771">
      <c r="A771" s="2" t="s">
        <v>3316</v>
      </c>
      <c r="B771" s="2" t="s">
        <v>3317</v>
      </c>
      <c r="C771" s="2" t="s">
        <v>14</v>
      </c>
      <c r="D771" s="2" t="s">
        <v>15</v>
      </c>
      <c r="E771" s="2" t="s">
        <v>23</v>
      </c>
      <c r="F771" s="3">
        <f>+5491150429194</f>
        <v>5491150429194</v>
      </c>
      <c r="G771" s="2" t="s">
        <v>3318</v>
      </c>
      <c r="H771" s="2" t="s">
        <v>25</v>
      </c>
      <c r="I771" s="2" t="s">
        <v>236</v>
      </c>
      <c r="J771" s="2" t="s">
        <v>236</v>
      </c>
      <c r="K771" s="4">
        <v>46129.0</v>
      </c>
      <c r="L771" s="2" t="s">
        <v>3319</v>
      </c>
    </row>
    <row r="772">
      <c r="A772" s="2" t="s">
        <v>3320</v>
      </c>
      <c r="B772" s="2" t="s">
        <v>3321</v>
      </c>
      <c r="C772" s="2" t="s">
        <v>14</v>
      </c>
      <c r="D772" s="2" t="s">
        <v>15</v>
      </c>
      <c r="E772" s="2" t="s">
        <v>23</v>
      </c>
      <c r="F772" s="3">
        <f>+5493416764378</f>
        <v>5493416764378</v>
      </c>
      <c r="G772" s="2" t="s">
        <v>3322</v>
      </c>
      <c r="H772" s="2" t="s">
        <v>65</v>
      </c>
      <c r="I772" s="2" t="s">
        <v>218</v>
      </c>
      <c r="J772" s="2" t="s">
        <v>2820</v>
      </c>
      <c r="K772" s="4">
        <v>46129.0</v>
      </c>
      <c r="L772" s="2" t="s">
        <v>3323</v>
      </c>
    </row>
    <row r="773">
      <c r="A773" s="2" t="s">
        <v>3324</v>
      </c>
      <c r="B773" s="2" t="s">
        <v>3325</v>
      </c>
      <c r="C773" s="2" t="s">
        <v>14</v>
      </c>
      <c r="D773" s="2" t="s">
        <v>15</v>
      </c>
      <c r="E773" s="2" t="s">
        <v>23</v>
      </c>
      <c r="F773" s="3">
        <f>+5491130465539</f>
        <v>5491130465539</v>
      </c>
      <c r="G773" s="2" t="s">
        <v>3326</v>
      </c>
      <c r="H773" s="2" t="s">
        <v>25</v>
      </c>
      <c r="I773" s="2" t="s">
        <v>957</v>
      </c>
      <c r="J773" s="2" t="s">
        <v>1475</v>
      </c>
      <c r="K773" s="4">
        <v>46129.0</v>
      </c>
      <c r="L773" s="2" t="s">
        <v>3327</v>
      </c>
    </row>
    <row r="774">
      <c r="A774" s="2" t="s">
        <v>3328</v>
      </c>
      <c r="B774" s="2" t="s">
        <v>3329</v>
      </c>
      <c r="C774" s="2" t="s">
        <v>14</v>
      </c>
      <c r="D774" s="2" t="s">
        <v>15</v>
      </c>
      <c r="E774" s="2" t="s">
        <v>23</v>
      </c>
      <c r="F774" s="3">
        <f>+5491164182661</f>
        <v>5491164182661</v>
      </c>
      <c r="G774" s="2" t="s">
        <v>3330</v>
      </c>
      <c r="H774" s="2" t="s">
        <v>32</v>
      </c>
      <c r="I774" s="2" t="s">
        <v>25</v>
      </c>
      <c r="J774" s="2" t="s">
        <v>3331</v>
      </c>
      <c r="K774" s="4">
        <v>46129.0</v>
      </c>
      <c r="L774" s="2" t="s">
        <v>3332</v>
      </c>
    </row>
    <row r="775">
      <c r="A775" s="2" t="s">
        <v>3333</v>
      </c>
      <c r="B775" s="2" t="s">
        <v>3334</v>
      </c>
      <c r="C775" s="2" t="s">
        <v>14</v>
      </c>
      <c r="D775" s="2" t="s">
        <v>15</v>
      </c>
      <c r="E775" s="2" t="s">
        <v>23</v>
      </c>
      <c r="F775" s="3">
        <f>+5492215038142</f>
        <v>5492215038142</v>
      </c>
      <c r="G775" s="2" t="s">
        <v>3335</v>
      </c>
      <c r="H775" s="2" t="s">
        <v>25</v>
      </c>
      <c r="I775" s="2" t="s">
        <v>44</v>
      </c>
      <c r="J775" s="2" t="s">
        <v>44</v>
      </c>
      <c r="K775" s="4">
        <v>46129.0</v>
      </c>
      <c r="L775" s="2" t="s">
        <v>3336</v>
      </c>
    </row>
    <row r="776">
      <c r="A776" s="2" t="s">
        <v>3337</v>
      </c>
      <c r="B776" s="2" t="s">
        <v>3338</v>
      </c>
      <c r="C776" s="2" t="s">
        <v>14</v>
      </c>
      <c r="D776" s="2" t="s">
        <v>15</v>
      </c>
      <c r="E776" s="2" t="s">
        <v>23</v>
      </c>
      <c r="F776" s="3">
        <f>+5492224464492</f>
        <v>5492224464492</v>
      </c>
      <c r="G776" s="2" t="s">
        <v>3339</v>
      </c>
      <c r="H776" s="2" t="s">
        <v>32</v>
      </c>
      <c r="I776" s="2" t="s">
        <v>25</v>
      </c>
      <c r="J776" s="2" t="s">
        <v>1080</v>
      </c>
      <c r="K776" s="4">
        <v>46129.0</v>
      </c>
      <c r="L776" s="2" t="s">
        <v>3340</v>
      </c>
    </row>
    <row r="777">
      <c r="A777" s="2" t="s">
        <v>3341</v>
      </c>
      <c r="B777" s="2" t="s">
        <v>3342</v>
      </c>
      <c r="C777" s="2" t="s">
        <v>14</v>
      </c>
      <c r="D777" s="2" t="s">
        <v>15</v>
      </c>
      <c r="E777" s="2" t="s">
        <v>23</v>
      </c>
      <c r="F777" s="3">
        <f>+5491137785696</f>
        <v>5491137785696</v>
      </c>
      <c r="G777" s="2" t="s">
        <v>3343</v>
      </c>
      <c r="H777" s="2" t="s">
        <v>25</v>
      </c>
      <c r="I777" s="2" t="s">
        <v>49</v>
      </c>
      <c r="J777" s="2" t="s">
        <v>49</v>
      </c>
      <c r="K777" s="4">
        <v>46129.0</v>
      </c>
      <c r="L777" s="2" t="s">
        <v>3344</v>
      </c>
    </row>
    <row r="778">
      <c r="A778" s="2" t="s">
        <v>3345</v>
      </c>
      <c r="B778" s="2" t="s">
        <v>3346</v>
      </c>
      <c r="C778" s="2" t="s">
        <v>14</v>
      </c>
      <c r="D778" s="2" t="s">
        <v>15</v>
      </c>
      <c r="E778" s="2" t="s">
        <v>16</v>
      </c>
      <c r="F778" s="3">
        <f>+5491150494047</f>
        <v>5491150494047</v>
      </c>
      <c r="G778" s="2" t="s">
        <v>3347</v>
      </c>
      <c r="H778" s="2" t="s">
        <v>25</v>
      </c>
      <c r="I778" s="2" t="s">
        <v>314</v>
      </c>
      <c r="J778" s="2" t="s">
        <v>314</v>
      </c>
      <c r="K778" s="4">
        <v>46129.0</v>
      </c>
      <c r="L778" s="2" t="s">
        <v>3348</v>
      </c>
    </row>
    <row r="779">
      <c r="A779" s="2" t="s">
        <v>3349</v>
      </c>
      <c r="B779" s="2" t="s">
        <v>3350</v>
      </c>
      <c r="C779" s="2" t="s">
        <v>14</v>
      </c>
      <c r="D779" s="2" t="s">
        <v>15</v>
      </c>
      <c r="E779" s="2" t="s">
        <v>23</v>
      </c>
      <c r="F779" s="3">
        <f>+5491169318835</f>
        <v>5491169318835</v>
      </c>
      <c r="G779" s="2" t="s">
        <v>3351</v>
      </c>
      <c r="H779" s="2" t="s">
        <v>25</v>
      </c>
      <c r="I779" s="2" t="s">
        <v>84</v>
      </c>
      <c r="J779" s="2" t="s">
        <v>1699</v>
      </c>
      <c r="K779" s="4">
        <v>46129.0</v>
      </c>
      <c r="L779" s="2" t="s">
        <v>3352</v>
      </c>
    </row>
    <row r="780">
      <c r="A780" s="2" t="s">
        <v>3353</v>
      </c>
      <c r="B780" s="2" t="s">
        <v>3354</v>
      </c>
      <c r="C780" s="2" t="s">
        <v>14</v>
      </c>
      <c r="D780" s="2" t="s">
        <v>15</v>
      </c>
      <c r="E780" s="2" t="s">
        <v>23</v>
      </c>
      <c r="F780" s="3">
        <f>+5492615913483</f>
        <v>5492615913483</v>
      </c>
      <c r="G780" s="2" t="s">
        <v>3355</v>
      </c>
      <c r="H780" s="2" t="s">
        <v>71</v>
      </c>
      <c r="I780" s="2" t="s">
        <v>1625</v>
      </c>
      <c r="J780" s="2" t="s">
        <v>2160</v>
      </c>
      <c r="K780" s="4">
        <v>46129.0</v>
      </c>
      <c r="L780" s="2" t="s">
        <v>3356</v>
      </c>
    </row>
    <row r="781">
      <c r="A781" s="2" t="s">
        <v>3357</v>
      </c>
      <c r="B781" s="2" t="s">
        <v>3358</v>
      </c>
      <c r="C781" s="2" t="s">
        <v>14</v>
      </c>
      <c r="D781" s="2" t="s">
        <v>15</v>
      </c>
      <c r="E781" s="2" t="s">
        <v>23</v>
      </c>
      <c r="F781" s="3">
        <f>+5491121824960</f>
        <v>5491121824960</v>
      </c>
      <c r="G781" s="2" t="s">
        <v>3359</v>
      </c>
      <c r="H781" s="2" t="s">
        <v>25</v>
      </c>
      <c r="I781" s="2" t="s">
        <v>49</v>
      </c>
      <c r="J781" s="2" t="s">
        <v>49</v>
      </c>
      <c r="K781" s="4">
        <v>46129.0</v>
      </c>
      <c r="L781" s="2" t="s">
        <v>3360</v>
      </c>
    </row>
    <row r="782">
      <c r="A782" s="2" t="s">
        <v>3361</v>
      </c>
      <c r="B782" s="2" t="s">
        <v>3362</v>
      </c>
      <c r="C782" s="2" t="s">
        <v>14</v>
      </c>
      <c r="D782" s="2" t="s">
        <v>15</v>
      </c>
      <c r="E782" s="2" t="s">
        <v>23</v>
      </c>
      <c r="F782" s="3">
        <f>+5493412145626</f>
        <v>5493412145626</v>
      </c>
      <c r="G782" s="2" t="s">
        <v>3363</v>
      </c>
      <c r="H782" s="2" t="s">
        <v>65</v>
      </c>
      <c r="I782" s="2" t="s">
        <v>218</v>
      </c>
      <c r="J782" s="2" t="s">
        <v>1400</v>
      </c>
      <c r="K782" s="4">
        <v>46129.0</v>
      </c>
      <c r="L782" s="2" t="s">
        <v>3364</v>
      </c>
    </row>
    <row r="783">
      <c r="A783" s="2" t="s">
        <v>3365</v>
      </c>
      <c r="B783" s="2" t="s">
        <v>3366</v>
      </c>
      <c r="C783" s="2" t="s">
        <v>14</v>
      </c>
      <c r="D783" s="2" t="s">
        <v>15</v>
      </c>
      <c r="E783" s="2" t="s">
        <v>23</v>
      </c>
      <c r="F783" s="3">
        <f>+5491124729351</f>
        <v>5491124729351</v>
      </c>
      <c r="G783" s="2" t="s">
        <v>3367</v>
      </c>
      <c r="H783" s="2" t="s">
        <v>25</v>
      </c>
      <c r="I783" s="2" t="s">
        <v>44</v>
      </c>
      <c r="J783" s="2" t="s">
        <v>3368</v>
      </c>
      <c r="K783" s="4">
        <v>46129.0</v>
      </c>
      <c r="L783" s="2" t="s">
        <v>3369</v>
      </c>
    </row>
    <row r="784">
      <c r="A784" s="2" t="s">
        <v>3370</v>
      </c>
      <c r="B784" s="2" t="s">
        <v>3371</v>
      </c>
      <c r="C784" s="2" t="s">
        <v>14</v>
      </c>
      <c r="D784" s="2" t="s">
        <v>15</v>
      </c>
      <c r="E784" s="2" t="s">
        <v>16</v>
      </c>
      <c r="F784" s="3">
        <f>+5492615602143</f>
        <v>5492615602143</v>
      </c>
      <c r="G784" s="2" t="s">
        <v>3372</v>
      </c>
      <c r="H784" s="2" t="s">
        <v>71</v>
      </c>
      <c r="I784" s="2" t="s">
        <v>902</v>
      </c>
      <c r="J784" s="2" t="s">
        <v>903</v>
      </c>
      <c r="K784" s="4">
        <v>46129.0</v>
      </c>
      <c r="L784" s="2" t="s">
        <v>3373</v>
      </c>
    </row>
    <row r="785">
      <c r="A785" s="2" t="s">
        <v>3374</v>
      </c>
      <c r="B785" s="2" t="s">
        <v>3375</v>
      </c>
      <c r="C785" s="2" t="s">
        <v>14</v>
      </c>
      <c r="D785" s="2" t="s">
        <v>15</v>
      </c>
      <c r="E785" s="2" t="s">
        <v>23</v>
      </c>
      <c r="F785" s="3">
        <f>+5491137041270</f>
        <v>5491137041270</v>
      </c>
      <c r="G785" s="2" t="s">
        <v>3376</v>
      </c>
      <c r="H785" s="2" t="s">
        <v>25</v>
      </c>
      <c r="I785" s="2" t="s">
        <v>26</v>
      </c>
      <c r="J785" s="2" t="s">
        <v>455</v>
      </c>
      <c r="K785" s="4">
        <v>46129.0</v>
      </c>
      <c r="L785" s="2" t="s">
        <v>3377</v>
      </c>
    </row>
    <row r="786">
      <c r="A786" s="2" t="s">
        <v>3378</v>
      </c>
      <c r="B786" s="2" t="s">
        <v>3379</v>
      </c>
      <c r="C786" s="2" t="s">
        <v>14</v>
      </c>
      <c r="D786" s="2" t="s">
        <v>15</v>
      </c>
      <c r="E786" s="2" t="s">
        <v>16</v>
      </c>
      <c r="F786" s="3">
        <f>+5491161513396</f>
        <v>5491161513396</v>
      </c>
      <c r="G786" s="2" t="s">
        <v>3380</v>
      </c>
      <c r="H786" s="2" t="s">
        <v>32</v>
      </c>
      <c r="I786" s="2" t="s">
        <v>25</v>
      </c>
      <c r="J786" s="2" t="s">
        <v>846</v>
      </c>
      <c r="K786" s="4">
        <v>46129.0</v>
      </c>
      <c r="L786" s="2" t="s">
        <v>3381</v>
      </c>
    </row>
    <row r="787">
      <c r="A787" s="2" t="s">
        <v>3382</v>
      </c>
      <c r="B787" s="2" t="s">
        <v>3383</v>
      </c>
      <c r="C787" s="2" t="s">
        <v>14</v>
      </c>
      <c r="D787" s="2" t="s">
        <v>15</v>
      </c>
      <c r="E787" s="2" t="s">
        <v>23</v>
      </c>
      <c r="F787" s="3">
        <f>+54901127072338</f>
        <v>54901127072338</v>
      </c>
      <c r="G787" s="2" t="s">
        <v>3384</v>
      </c>
      <c r="H787" s="2" t="s">
        <v>25</v>
      </c>
      <c r="I787" s="2" t="s">
        <v>26</v>
      </c>
      <c r="J787" s="2" t="s">
        <v>455</v>
      </c>
      <c r="K787" s="4">
        <v>46129.0</v>
      </c>
      <c r="L787" s="2" t="s">
        <v>3385</v>
      </c>
    </row>
    <row r="788">
      <c r="A788" s="2" t="s">
        <v>3386</v>
      </c>
      <c r="B788" s="2" t="s">
        <v>3387</v>
      </c>
      <c r="C788" s="2" t="s">
        <v>14</v>
      </c>
      <c r="D788" s="2" t="s">
        <v>15</v>
      </c>
      <c r="E788" s="2" t="s">
        <v>23</v>
      </c>
      <c r="F788" s="3">
        <f>+5491134195571</f>
        <v>5491134195571</v>
      </c>
      <c r="G788" s="2" t="s">
        <v>3388</v>
      </c>
      <c r="H788" s="2" t="s">
        <v>32</v>
      </c>
      <c r="I788" s="2" t="s">
        <v>25</v>
      </c>
      <c r="J788" s="2" t="s">
        <v>759</v>
      </c>
      <c r="K788" s="4">
        <v>46129.0</v>
      </c>
      <c r="L788" s="2" t="s">
        <v>2645</v>
      </c>
    </row>
    <row r="789">
      <c r="A789" s="2" t="s">
        <v>3389</v>
      </c>
      <c r="B789" s="2" t="s">
        <v>3390</v>
      </c>
      <c r="C789" s="2" t="s">
        <v>14</v>
      </c>
      <c r="D789" s="2" t="s">
        <v>15</v>
      </c>
      <c r="E789" s="2" t="s">
        <v>23</v>
      </c>
      <c r="F789" s="3">
        <f>+5492616694161</f>
        <v>5492616694161</v>
      </c>
      <c r="G789" s="2" t="s">
        <v>3391</v>
      </c>
      <c r="H789" s="2" t="s">
        <v>71</v>
      </c>
      <c r="I789" s="2" t="s">
        <v>1156</v>
      </c>
      <c r="J789" s="2" t="s">
        <v>1545</v>
      </c>
      <c r="K789" s="4">
        <v>46129.0</v>
      </c>
      <c r="L789" s="2" t="s">
        <v>3392</v>
      </c>
    </row>
    <row r="790">
      <c r="A790" s="2" t="s">
        <v>3393</v>
      </c>
      <c r="B790" s="2" t="s">
        <v>3394</v>
      </c>
      <c r="C790" s="2" t="s">
        <v>831</v>
      </c>
      <c r="D790" s="2" t="s">
        <v>15</v>
      </c>
      <c r="E790" s="2" t="s">
        <v>16</v>
      </c>
      <c r="F790" s="3">
        <f>+5491165439105</f>
        <v>5491165439105</v>
      </c>
      <c r="G790" s="2" t="s">
        <v>3395</v>
      </c>
      <c r="H790" s="2" t="s">
        <v>32</v>
      </c>
      <c r="I790" s="2" t="s">
        <v>25</v>
      </c>
      <c r="J790" s="2" t="s">
        <v>1037</v>
      </c>
      <c r="K790" s="4">
        <v>46129.0</v>
      </c>
      <c r="L790" s="2" t="s">
        <v>3096</v>
      </c>
    </row>
    <row r="791">
      <c r="A791" s="2" t="s">
        <v>3396</v>
      </c>
      <c r="B791" s="2" t="s">
        <v>3397</v>
      </c>
      <c r="C791" s="2" t="s">
        <v>14</v>
      </c>
      <c r="D791" s="2" t="s">
        <v>15</v>
      </c>
      <c r="E791" s="2" t="s">
        <v>23</v>
      </c>
      <c r="F791" s="3">
        <f>+543876357789</f>
        <v>543876357789</v>
      </c>
      <c r="G791" s="2" t="s">
        <v>3398</v>
      </c>
      <c r="H791" s="2" t="s">
        <v>725</v>
      </c>
      <c r="I791" s="2" t="s">
        <v>725</v>
      </c>
      <c r="J791" s="2" t="s">
        <v>219</v>
      </c>
      <c r="K791" s="4">
        <v>46129.0</v>
      </c>
      <c r="L791" s="2" t="s">
        <v>3399</v>
      </c>
    </row>
    <row r="792">
      <c r="A792" s="2" t="s">
        <v>3400</v>
      </c>
      <c r="B792" s="2" t="s">
        <v>3401</v>
      </c>
      <c r="C792" s="2" t="s">
        <v>14</v>
      </c>
      <c r="D792" s="2" t="s">
        <v>15</v>
      </c>
      <c r="E792" s="2" t="s">
        <v>23</v>
      </c>
      <c r="F792" s="3">
        <f>+5493484388675</f>
        <v>5493484388675</v>
      </c>
      <c r="G792" s="2" t="s">
        <v>3402</v>
      </c>
      <c r="H792" s="2" t="s">
        <v>25</v>
      </c>
      <c r="I792" s="2" t="s">
        <v>38</v>
      </c>
      <c r="J792" s="2" t="s">
        <v>1896</v>
      </c>
      <c r="K792" s="4">
        <v>46129.0</v>
      </c>
      <c r="L792" s="2" t="s">
        <v>3403</v>
      </c>
    </row>
    <row r="793">
      <c r="A793" s="2" t="s">
        <v>3404</v>
      </c>
      <c r="B793" s="2" t="s">
        <v>3405</v>
      </c>
      <c r="C793" s="2" t="s">
        <v>14</v>
      </c>
      <c r="D793" s="2" t="s">
        <v>15</v>
      </c>
      <c r="E793" s="2" t="s">
        <v>23</v>
      </c>
      <c r="F793" s="3">
        <f>+5491123665410</f>
        <v>5491123665410</v>
      </c>
      <c r="G793" s="2" t="s">
        <v>3406</v>
      </c>
      <c r="H793" s="2" t="s">
        <v>25</v>
      </c>
      <c r="I793" s="2" t="s">
        <v>26</v>
      </c>
      <c r="J793" s="2" t="s">
        <v>1280</v>
      </c>
      <c r="K793" s="4">
        <v>46129.0</v>
      </c>
      <c r="L793" s="2" t="s">
        <v>3407</v>
      </c>
    </row>
    <row r="794">
      <c r="A794" s="2" t="s">
        <v>3408</v>
      </c>
      <c r="B794" s="2" t="s">
        <v>3409</v>
      </c>
      <c r="C794" s="2" t="s">
        <v>14</v>
      </c>
      <c r="D794" s="2" t="s">
        <v>15</v>
      </c>
      <c r="E794" s="2" t="s">
        <v>16</v>
      </c>
      <c r="F794" s="3">
        <f>+5491161513396</f>
        <v>5491161513396</v>
      </c>
      <c r="G794" s="2" t="s">
        <v>3380</v>
      </c>
      <c r="H794" s="2" t="s">
        <v>32</v>
      </c>
      <c r="I794" s="2" t="s">
        <v>25</v>
      </c>
      <c r="J794" s="2" t="s">
        <v>846</v>
      </c>
      <c r="K794" s="4">
        <v>46129.0</v>
      </c>
      <c r="L794" s="2" t="s">
        <v>3381</v>
      </c>
    </row>
    <row r="795">
      <c r="A795" s="2" t="s">
        <v>3410</v>
      </c>
      <c r="B795" s="2" t="s">
        <v>3411</v>
      </c>
      <c r="C795" s="2" t="s">
        <v>14</v>
      </c>
      <c r="D795" s="2" t="s">
        <v>15</v>
      </c>
      <c r="E795" s="2" t="s">
        <v>23</v>
      </c>
      <c r="F795" s="3">
        <f>+5491134663458</f>
        <v>5491134663458</v>
      </c>
      <c r="G795" s="2" t="s">
        <v>3412</v>
      </c>
      <c r="H795" s="2" t="s">
        <v>25</v>
      </c>
      <c r="I795" s="2" t="s">
        <v>97</v>
      </c>
      <c r="J795" s="2" t="s">
        <v>97</v>
      </c>
      <c r="K795" s="4">
        <v>46129.0</v>
      </c>
      <c r="L795" s="2" t="s">
        <v>3413</v>
      </c>
    </row>
    <row r="796">
      <c r="A796" s="2" t="s">
        <v>3414</v>
      </c>
      <c r="B796" s="2" t="s">
        <v>3415</v>
      </c>
      <c r="C796" s="2" t="s">
        <v>14</v>
      </c>
      <c r="D796" s="2" t="s">
        <v>15</v>
      </c>
      <c r="E796" s="2" t="s">
        <v>23</v>
      </c>
      <c r="F796" s="3">
        <f>+5491158750708</f>
        <v>5491158750708</v>
      </c>
      <c r="G796" s="2" t="s">
        <v>3416</v>
      </c>
      <c r="H796" s="2" t="s">
        <v>25</v>
      </c>
      <c r="I796" s="2" t="s">
        <v>44</v>
      </c>
      <c r="J796" s="2" t="s">
        <v>468</v>
      </c>
      <c r="K796" s="4">
        <v>46129.0</v>
      </c>
      <c r="L796" s="2" t="s">
        <v>3417</v>
      </c>
    </row>
    <row r="797">
      <c r="A797" s="2" t="s">
        <v>3418</v>
      </c>
      <c r="B797" s="2" t="s">
        <v>3419</v>
      </c>
      <c r="C797" s="2" t="s">
        <v>14</v>
      </c>
      <c r="D797" s="2" t="s">
        <v>15</v>
      </c>
      <c r="E797" s="2" t="s">
        <v>23</v>
      </c>
      <c r="F797" s="3">
        <f>+5491142370902</f>
        <v>5491142370902</v>
      </c>
      <c r="G797" s="2" t="s">
        <v>3420</v>
      </c>
      <c r="H797" s="2" t="s">
        <v>25</v>
      </c>
      <c r="I797" s="2" t="s">
        <v>1920</v>
      </c>
      <c r="J797" s="2" t="s">
        <v>1921</v>
      </c>
      <c r="K797" s="4">
        <v>46129.0</v>
      </c>
      <c r="L797" s="2" t="s">
        <v>3421</v>
      </c>
    </row>
    <row r="798">
      <c r="A798" s="2" t="s">
        <v>3422</v>
      </c>
      <c r="B798" s="2" t="s">
        <v>3423</v>
      </c>
      <c r="C798" s="2" t="s">
        <v>14</v>
      </c>
      <c r="D798" s="2" t="s">
        <v>15</v>
      </c>
      <c r="E798" s="2" t="s">
        <v>23</v>
      </c>
      <c r="F798" s="3">
        <f>+5491130501233</f>
        <v>5491130501233</v>
      </c>
      <c r="G798" s="2" t="s">
        <v>3424</v>
      </c>
      <c r="H798" s="2" t="s">
        <v>25</v>
      </c>
      <c r="I798" s="2" t="s">
        <v>38</v>
      </c>
      <c r="J798" s="2" t="s">
        <v>39</v>
      </c>
      <c r="K798" s="4">
        <v>46129.0</v>
      </c>
      <c r="L798" s="2" t="s">
        <v>3425</v>
      </c>
    </row>
    <row r="799">
      <c r="A799" s="2" t="s">
        <v>3426</v>
      </c>
      <c r="B799" s="2" t="s">
        <v>3427</v>
      </c>
      <c r="C799" s="2" t="s">
        <v>14</v>
      </c>
      <c r="D799" s="2" t="s">
        <v>15</v>
      </c>
      <c r="E799" s="2" t="s">
        <v>16</v>
      </c>
      <c r="F799" s="3">
        <f>+5491164581604</f>
        <v>5491164581604</v>
      </c>
      <c r="G799" s="2" t="s">
        <v>3428</v>
      </c>
      <c r="H799" s="2" t="s">
        <v>32</v>
      </c>
      <c r="I799" s="2" t="s">
        <v>25</v>
      </c>
      <c r="J799" s="2" t="s">
        <v>169</v>
      </c>
      <c r="K799" s="4">
        <v>46129.0</v>
      </c>
      <c r="L799" s="2" t="s">
        <v>3429</v>
      </c>
    </row>
    <row r="800">
      <c r="A800" s="2" t="s">
        <v>3430</v>
      </c>
      <c r="B800" s="2" t="s">
        <v>3431</v>
      </c>
      <c r="C800" s="2" t="s">
        <v>14</v>
      </c>
      <c r="D800" s="2" t="s">
        <v>15</v>
      </c>
      <c r="E800" s="2" t="s">
        <v>23</v>
      </c>
      <c r="F800" s="3">
        <f>+5492615385054</f>
        <v>5492615385054</v>
      </c>
      <c r="G800" s="2" t="s">
        <v>3432</v>
      </c>
      <c r="H800" s="2" t="s">
        <v>71</v>
      </c>
      <c r="I800" s="2" t="s">
        <v>902</v>
      </c>
      <c r="J800" s="2" t="s">
        <v>989</v>
      </c>
      <c r="K800" s="4">
        <v>46129.0</v>
      </c>
      <c r="L800" s="2" t="s">
        <v>3433</v>
      </c>
    </row>
    <row r="801">
      <c r="A801" s="2" t="s">
        <v>3434</v>
      </c>
      <c r="B801" s="2" t="s">
        <v>3435</v>
      </c>
      <c r="C801" s="2" t="s">
        <v>831</v>
      </c>
      <c r="D801" s="2" t="s">
        <v>15</v>
      </c>
      <c r="E801" s="2" t="s">
        <v>16</v>
      </c>
      <c r="F801" s="2">
        <v>1.1387065314E10</v>
      </c>
      <c r="G801" s="2" t="s">
        <v>3436</v>
      </c>
      <c r="H801" s="2" t="s">
        <v>32</v>
      </c>
      <c r="I801" s="2" t="s">
        <v>25</v>
      </c>
      <c r="J801" s="2" t="s">
        <v>559</v>
      </c>
      <c r="K801" s="4">
        <v>46129.0</v>
      </c>
      <c r="L801" s="2" t="s">
        <v>3437</v>
      </c>
    </row>
    <row r="802">
      <c r="A802" s="2" t="s">
        <v>3438</v>
      </c>
      <c r="B802" s="2" t="s">
        <v>3439</v>
      </c>
      <c r="C802" s="2" t="s">
        <v>14</v>
      </c>
      <c r="D802" s="2" t="s">
        <v>15</v>
      </c>
      <c r="E802" s="2" t="s">
        <v>23</v>
      </c>
      <c r="F802" s="3">
        <f>+5493812008747</f>
        <v>5493812008747</v>
      </c>
      <c r="G802" s="2" t="s">
        <v>3440</v>
      </c>
      <c r="H802" s="2" t="s">
        <v>55</v>
      </c>
      <c r="I802" s="2" t="s">
        <v>883</v>
      </c>
      <c r="J802" s="2" t="s">
        <v>3441</v>
      </c>
      <c r="K802" s="4">
        <v>46129.0</v>
      </c>
      <c r="L802" s="2" t="s">
        <v>3442</v>
      </c>
    </row>
    <row r="803">
      <c r="A803" s="2" t="s">
        <v>3443</v>
      </c>
      <c r="B803" s="2" t="s">
        <v>3444</v>
      </c>
      <c r="C803" s="2" t="s">
        <v>14</v>
      </c>
      <c r="D803" s="2" t="s">
        <v>15</v>
      </c>
      <c r="E803" s="2" t="s">
        <v>23</v>
      </c>
      <c r="F803" s="3">
        <f>+5491162888290</f>
        <v>5491162888290</v>
      </c>
      <c r="G803" s="2" t="s">
        <v>3445</v>
      </c>
      <c r="H803" s="2" t="s">
        <v>25</v>
      </c>
      <c r="I803" s="2" t="s">
        <v>764</v>
      </c>
      <c r="J803" s="2" t="s">
        <v>1213</v>
      </c>
      <c r="K803" s="4">
        <v>46129.0</v>
      </c>
      <c r="L803" s="2" t="s">
        <v>3446</v>
      </c>
    </row>
    <row r="804">
      <c r="A804" s="2" t="s">
        <v>3447</v>
      </c>
      <c r="B804" s="2" t="s">
        <v>3448</v>
      </c>
      <c r="C804" s="2" t="s">
        <v>14</v>
      </c>
      <c r="D804" s="2" t="s">
        <v>15</v>
      </c>
      <c r="E804" s="2" t="s">
        <v>23</v>
      </c>
      <c r="F804" s="3">
        <f>+5493513262815</f>
        <v>5493513262815</v>
      </c>
      <c r="G804" s="2" t="s">
        <v>3449</v>
      </c>
      <c r="H804" s="2" t="s">
        <v>18</v>
      </c>
      <c r="I804" s="2" t="s">
        <v>18</v>
      </c>
      <c r="J804" s="2" t="s">
        <v>712</v>
      </c>
      <c r="K804" s="4">
        <v>46129.0</v>
      </c>
      <c r="L804" s="2" t="s">
        <v>3450</v>
      </c>
    </row>
    <row r="805">
      <c r="A805" s="2" t="s">
        <v>3451</v>
      </c>
      <c r="B805" s="2" t="s">
        <v>3452</v>
      </c>
      <c r="C805" s="2" t="s">
        <v>14</v>
      </c>
      <c r="D805" s="2" t="s">
        <v>15</v>
      </c>
      <c r="E805" s="2" t="s">
        <v>23</v>
      </c>
      <c r="F805" s="3">
        <f>+5493512300314</f>
        <v>5493512300314</v>
      </c>
      <c r="G805" s="2" t="s">
        <v>3453</v>
      </c>
      <c r="H805" s="2" t="s">
        <v>18</v>
      </c>
      <c r="I805" s="2" t="s">
        <v>18</v>
      </c>
      <c r="J805" s="2" t="s">
        <v>3454</v>
      </c>
      <c r="K805" s="4">
        <v>46129.0</v>
      </c>
      <c r="L805" s="2" t="s">
        <v>3455</v>
      </c>
    </row>
    <row r="806">
      <c r="A806" s="2" t="s">
        <v>3456</v>
      </c>
      <c r="B806" s="2" t="s">
        <v>3457</v>
      </c>
      <c r="C806" s="2" t="s">
        <v>14</v>
      </c>
      <c r="D806" s="2" t="s">
        <v>15</v>
      </c>
      <c r="E806" s="2" t="s">
        <v>23</v>
      </c>
      <c r="F806" s="3">
        <f>+5493815625031</f>
        <v>5493815625031</v>
      </c>
      <c r="G806" s="2" t="s">
        <v>3458</v>
      </c>
      <c r="H806" s="2" t="s">
        <v>55</v>
      </c>
      <c r="I806" s="2" t="s">
        <v>883</v>
      </c>
      <c r="J806" s="2" t="s">
        <v>2400</v>
      </c>
      <c r="K806" s="4">
        <v>46129.0</v>
      </c>
      <c r="L806" s="2" t="s">
        <v>3459</v>
      </c>
    </row>
    <row r="807">
      <c r="A807" s="2" t="s">
        <v>3460</v>
      </c>
      <c r="B807" s="2" t="s">
        <v>3461</v>
      </c>
      <c r="C807" s="2" t="s">
        <v>14</v>
      </c>
      <c r="D807" s="2" t="s">
        <v>15</v>
      </c>
      <c r="E807" s="2" t="s">
        <v>23</v>
      </c>
      <c r="F807" s="3">
        <f>+5491159094967</f>
        <v>5491159094967</v>
      </c>
      <c r="G807" s="2" t="s">
        <v>3462</v>
      </c>
      <c r="H807" s="2" t="s">
        <v>32</v>
      </c>
      <c r="I807" s="2" t="s">
        <v>25</v>
      </c>
      <c r="J807" s="2" t="s">
        <v>403</v>
      </c>
      <c r="K807" s="4">
        <v>46129.0</v>
      </c>
      <c r="L807" s="2" t="s">
        <v>3463</v>
      </c>
    </row>
    <row r="808">
      <c r="A808" s="2" t="s">
        <v>3464</v>
      </c>
      <c r="B808" s="2" t="s">
        <v>3465</v>
      </c>
      <c r="C808" s="2" t="s">
        <v>14</v>
      </c>
      <c r="D808" s="2" t="s">
        <v>15</v>
      </c>
      <c r="E808" s="2" t="s">
        <v>23</v>
      </c>
      <c r="F808" s="3">
        <f>+5493487653724</f>
        <v>5493487653724</v>
      </c>
      <c r="G808" s="2" t="s">
        <v>3466</v>
      </c>
      <c r="H808" s="2" t="s">
        <v>25</v>
      </c>
      <c r="I808" s="2" t="s">
        <v>3011</v>
      </c>
      <c r="J808" s="2" t="s">
        <v>3011</v>
      </c>
      <c r="K808" s="4">
        <v>46129.0</v>
      </c>
      <c r="L808" s="2" t="s">
        <v>3467</v>
      </c>
    </row>
    <row r="809">
      <c r="A809" s="2" t="s">
        <v>3468</v>
      </c>
      <c r="B809" s="2" t="s">
        <v>3469</v>
      </c>
      <c r="C809" s="2" t="s">
        <v>14</v>
      </c>
      <c r="D809" s="2" t="s">
        <v>15</v>
      </c>
      <c r="E809" s="2" t="s">
        <v>23</v>
      </c>
      <c r="F809" s="3">
        <f>+5491153366191</f>
        <v>5491153366191</v>
      </c>
      <c r="G809" s="2" t="s">
        <v>3470</v>
      </c>
      <c r="H809" s="2" t="s">
        <v>25</v>
      </c>
      <c r="I809" s="2" t="s">
        <v>309</v>
      </c>
      <c r="J809" s="2" t="s">
        <v>309</v>
      </c>
      <c r="K809" s="4">
        <v>46129.0</v>
      </c>
      <c r="L809" s="2" t="s">
        <v>3471</v>
      </c>
    </row>
    <row r="810">
      <c r="A810" s="2" t="s">
        <v>3472</v>
      </c>
      <c r="B810" s="2" t="s">
        <v>3473</v>
      </c>
      <c r="C810" s="2" t="s">
        <v>14</v>
      </c>
      <c r="D810" s="2" t="s">
        <v>15</v>
      </c>
      <c r="E810" s="2" t="s">
        <v>23</v>
      </c>
      <c r="F810" s="3">
        <f>+5491136648698</f>
        <v>5491136648698</v>
      </c>
      <c r="G810" s="2" t="s">
        <v>3474</v>
      </c>
      <c r="H810" s="2" t="s">
        <v>32</v>
      </c>
      <c r="I810" s="2" t="s">
        <v>25</v>
      </c>
      <c r="J810" s="2" t="s">
        <v>1267</v>
      </c>
      <c r="K810" s="4">
        <v>46129.0</v>
      </c>
      <c r="L810" s="2" t="s">
        <v>3475</v>
      </c>
    </row>
    <row r="811">
      <c r="A811" s="2" t="s">
        <v>3476</v>
      </c>
      <c r="B811" s="2" t="s">
        <v>3477</v>
      </c>
      <c r="C811" s="2" t="s">
        <v>14</v>
      </c>
      <c r="D811" s="2" t="s">
        <v>15</v>
      </c>
      <c r="E811" s="2" t="s">
        <v>23</v>
      </c>
      <c r="F811" s="3">
        <f>+5491126840873</f>
        <v>5491126840873</v>
      </c>
      <c r="G811" s="2" t="s">
        <v>3478</v>
      </c>
      <c r="H811" s="2" t="s">
        <v>25</v>
      </c>
      <c r="I811" s="2" t="s">
        <v>481</v>
      </c>
      <c r="J811" s="2" t="s">
        <v>3479</v>
      </c>
      <c r="K811" s="4">
        <v>46129.0</v>
      </c>
      <c r="L811" s="2" t="s">
        <v>3480</v>
      </c>
    </row>
    <row r="812">
      <c r="A812" s="2" t="s">
        <v>3481</v>
      </c>
      <c r="B812" s="2" t="s">
        <v>3482</v>
      </c>
      <c r="C812" s="2" t="s">
        <v>14</v>
      </c>
      <c r="D812" s="2" t="s">
        <v>15</v>
      </c>
      <c r="E812" s="2" t="s">
        <v>23</v>
      </c>
      <c r="F812" s="3">
        <f>+5493415497328</f>
        <v>5493415497328</v>
      </c>
      <c r="G812" s="2" t="s">
        <v>3483</v>
      </c>
      <c r="H812" s="2" t="s">
        <v>65</v>
      </c>
      <c r="I812" s="2" t="s">
        <v>218</v>
      </c>
      <c r="J812" s="2" t="s">
        <v>2260</v>
      </c>
      <c r="K812" s="4">
        <v>46129.0</v>
      </c>
      <c r="L812" s="2" t="s">
        <v>3484</v>
      </c>
    </row>
    <row r="813">
      <c r="A813" s="2" t="s">
        <v>3485</v>
      </c>
      <c r="B813" s="2" t="s">
        <v>3486</v>
      </c>
      <c r="C813" s="2" t="s">
        <v>14</v>
      </c>
      <c r="D813" s="2" t="s">
        <v>15</v>
      </c>
      <c r="E813" s="2" t="s">
        <v>23</v>
      </c>
      <c r="F813" s="3">
        <f>+5491139483534</f>
        <v>5491139483534</v>
      </c>
      <c r="G813" s="2" t="s">
        <v>3487</v>
      </c>
      <c r="H813" s="2" t="s">
        <v>25</v>
      </c>
      <c r="I813" s="2" t="s">
        <v>246</v>
      </c>
      <c r="J813" s="2" t="s">
        <v>1136</v>
      </c>
      <c r="K813" s="4">
        <v>46129.0</v>
      </c>
      <c r="L813" s="2" t="s">
        <v>3488</v>
      </c>
    </row>
    <row r="814">
      <c r="A814" s="2" t="s">
        <v>3489</v>
      </c>
      <c r="B814" s="2" t="s">
        <v>3490</v>
      </c>
      <c r="C814" s="2" t="s">
        <v>14</v>
      </c>
      <c r="D814" s="2" t="s">
        <v>15</v>
      </c>
      <c r="E814" s="2" t="s">
        <v>23</v>
      </c>
      <c r="F814" s="3">
        <f>+5492215038142</f>
        <v>5492215038142</v>
      </c>
      <c r="G814" s="2" t="s">
        <v>3491</v>
      </c>
      <c r="H814" s="2" t="s">
        <v>25</v>
      </c>
      <c r="I814" s="2" t="s">
        <v>44</v>
      </c>
      <c r="J814" s="2" t="s">
        <v>44</v>
      </c>
      <c r="K814" s="4">
        <v>46129.0</v>
      </c>
      <c r="L814" s="2" t="s">
        <v>3492</v>
      </c>
    </row>
    <row r="815">
      <c r="A815" s="2" t="s">
        <v>3493</v>
      </c>
      <c r="B815" s="2" t="s">
        <v>3494</v>
      </c>
      <c r="C815" s="2" t="s">
        <v>14</v>
      </c>
      <c r="D815" s="2" t="s">
        <v>15</v>
      </c>
      <c r="E815" s="2" t="s">
        <v>23</v>
      </c>
      <c r="F815" s="3">
        <f>+5492613848664</f>
        <v>5492613848664</v>
      </c>
      <c r="G815" s="2" t="s">
        <v>3495</v>
      </c>
      <c r="H815" s="2" t="s">
        <v>71</v>
      </c>
      <c r="I815" s="2" t="s">
        <v>1156</v>
      </c>
      <c r="J815" s="2" t="s">
        <v>1545</v>
      </c>
      <c r="K815" s="4">
        <v>46129.0</v>
      </c>
      <c r="L815" s="2" t="s">
        <v>3496</v>
      </c>
    </row>
    <row r="816">
      <c r="A816" s="2" t="s">
        <v>3497</v>
      </c>
      <c r="B816" s="2" t="s">
        <v>3498</v>
      </c>
      <c r="C816" s="2" t="s">
        <v>14</v>
      </c>
      <c r="D816" s="2" t="s">
        <v>15</v>
      </c>
      <c r="E816" s="2" t="s">
        <v>23</v>
      </c>
      <c r="F816" s="3">
        <f>+5491176597231</f>
        <v>5491176597231</v>
      </c>
      <c r="G816" s="2" t="s">
        <v>3499</v>
      </c>
      <c r="H816" s="2" t="s">
        <v>25</v>
      </c>
      <c r="I816" s="2" t="s">
        <v>97</v>
      </c>
      <c r="J816" s="2" t="s">
        <v>97</v>
      </c>
      <c r="K816" s="4">
        <v>46129.0</v>
      </c>
      <c r="L816" s="2" t="s">
        <v>3500</v>
      </c>
    </row>
    <row r="817">
      <c r="A817" s="2" t="s">
        <v>3501</v>
      </c>
      <c r="B817" s="2" t="s">
        <v>3502</v>
      </c>
      <c r="C817" s="2" t="s">
        <v>14</v>
      </c>
      <c r="D817" s="2" t="s">
        <v>15</v>
      </c>
      <c r="E817" s="2" t="s">
        <v>23</v>
      </c>
      <c r="F817" s="3">
        <f>+5492615380541</f>
        <v>5492615380541</v>
      </c>
      <c r="G817" s="2" t="s">
        <v>3503</v>
      </c>
      <c r="H817" s="2" t="s">
        <v>71</v>
      </c>
      <c r="I817" s="2" t="s">
        <v>71</v>
      </c>
      <c r="J817" s="2" t="s">
        <v>1014</v>
      </c>
      <c r="K817" s="4">
        <v>46129.0</v>
      </c>
      <c r="L817" s="2" t="s">
        <v>3504</v>
      </c>
    </row>
    <row r="818">
      <c r="A818" s="2" t="s">
        <v>3505</v>
      </c>
      <c r="B818" s="2" t="s">
        <v>3506</v>
      </c>
      <c r="C818" s="2" t="s">
        <v>14</v>
      </c>
      <c r="D818" s="2" t="s">
        <v>15</v>
      </c>
      <c r="E818" s="2" t="s">
        <v>23</v>
      </c>
      <c r="F818" s="3">
        <f>+5493515606230</f>
        <v>5493515606230</v>
      </c>
      <c r="G818" s="2" t="s">
        <v>3507</v>
      </c>
      <c r="H818" s="2" t="s">
        <v>18</v>
      </c>
      <c r="I818" s="2" t="s">
        <v>18</v>
      </c>
      <c r="J818" s="2" t="s">
        <v>3508</v>
      </c>
      <c r="K818" s="4">
        <v>46129.0</v>
      </c>
      <c r="L818" s="2" t="s">
        <v>3509</v>
      </c>
    </row>
    <row r="819">
      <c r="A819" s="2" t="s">
        <v>3510</v>
      </c>
      <c r="B819" s="2" t="s">
        <v>3511</v>
      </c>
      <c r="C819" s="2" t="s">
        <v>14</v>
      </c>
      <c r="D819" s="2" t="s">
        <v>15</v>
      </c>
      <c r="E819" s="2" t="s">
        <v>23</v>
      </c>
      <c r="F819" s="3">
        <f>+5493517440410</f>
        <v>5493517440410</v>
      </c>
      <c r="G819" s="2" t="s">
        <v>3512</v>
      </c>
      <c r="H819" s="2" t="s">
        <v>18</v>
      </c>
      <c r="I819" s="2" t="s">
        <v>18</v>
      </c>
      <c r="J819" s="2" t="s">
        <v>3513</v>
      </c>
      <c r="K819" s="4">
        <v>46129.0</v>
      </c>
      <c r="L819" s="2" t="s">
        <v>3514</v>
      </c>
    </row>
    <row r="820">
      <c r="A820" s="2" t="s">
        <v>3515</v>
      </c>
      <c r="B820" s="2" t="s">
        <v>3516</v>
      </c>
      <c r="C820" s="2" t="s">
        <v>1150</v>
      </c>
      <c r="D820" s="2" t="s">
        <v>15</v>
      </c>
      <c r="E820" s="2" t="s">
        <v>16</v>
      </c>
      <c r="F820" s="3">
        <f>+543815904399</f>
        <v>543815904399</v>
      </c>
      <c r="G820" s="2" t="s">
        <v>3517</v>
      </c>
      <c r="H820" s="2" t="s">
        <v>55</v>
      </c>
      <c r="I820" s="2" t="s">
        <v>883</v>
      </c>
      <c r="J820" s="2" t="s">
        <v>1484</v>
      </c>
      <c r="K820" s="4">
        <v>46129.0</v>
      </c>
      <c r="L820" s="2" t="s">
        <v>3518</v>
      </c>
    </row>
    <row r="821">
      <c r="A821" s="2" t="s">
        <v>3519</v>
      </c>
      <c r="B821" s="2" t="s">
        <v>3520</v>
      </c>
      <c r="C821" s="2" t="s">
        <v>14</v>
      </c>
      <c r="D821" s="2" t="s">
        <v>15</v>
      </c>
      <c r="E821" s="2" t="s">
        <v>16</v>
      </c>
      <c r="F821" s="3">
        <f>+5493541622517</f>
        <v>5493541622517</v>
      </c>
      <c r="G821" s="2" t="s">
        <v>3521</v>
      </c>
      <c r="H821" s="2" t="s">
        <v>18</v>
      </c>
      <c r="I821" s="2" t="s">
        <v>535</v>
      </c>
      <c r="J821" s="2" t="s">
        <v>635</v>
      </c>
      <c r="K821" s="4">
        <v>46129.0</v>
      </c>
      <c r="L821" s="2" t="s">
        <v>3522</v>
      </c>
    </row>
    <row r="822">
      <c r="A822" s="2" t="s">
        <v>3523</v>
      </c>
      <c r="B822" s="2" t="s">
        <v>3524</v>
      </c>
      <c r="C822" s="2" t="s">
        <v>14</v>
      </c>
      <c r="D822" s="2" t="s">
        <v>15</v>
      </c>
      <c r="E822" s="2" t="s">
        <v>16</v>
      </c>
      <c r="F822" s="3">
        <f>+5491135862484</f>
        <v>5491135862484</v>
      </c>
      <c r="G822" s="2" t="s">
        <v>3525</v>
      </c>
      <c r="H822" s="2" t="s">
        <v>25</v>
      </c>
      <c r="I822" s="2" t="s">
        <v>957</v>
      </c>
      <c r="J822" s="2" t="s">
        <v>3526</v>
      </c>
      <c r="K822" s="4">
        <v>46129.0</v>
      </c>
      <c r="L822" s="2" t="s">
        <v>3527</v>
      </c>
    </row>
    <row r="823">
      <c r="A823" s="2" t="s">
        <v>3528</v>
      </c>
      <c r="B823" s="2" t="s">
        <v>3529</v>
      </c>
      <c r="C823" s="2" t="s">
        <v>14</v>
      </c>
      <c r="D823" s="2" t="s">
        <v>15</v>
      </c>
      <c r="E823" s="2" t="s">
        <v>23</v>
      </c>
      <c r="F823" s="3">
        <f>+5493413484592</f>
        <v>5493413484592</v>
      </c>
      <c r="G823" s="2" t="s">
        <v>3530</v>
      </c>
      <c r="H823" s="2" t="s">
        <v>65</v>
      </c>
      <c r="I823" s="2" t="s">
        <v>218</v>
      </c>
      <c r="J823" s="2" t="s">
        <v>1400</v>
      </c>
      <c r="K823" s="4">
        <v>46129.0</v>
      </c>
      <c r="L823" s="2" t="s">
        <v>3531</v>
      </c>
    </row>
    <row r="824">
      <c r="A824" s="2" t="s">
        <v>3532</v>
      </c>
      <c r="B824" s="2" t="s">
        <v>3533</v>
      </c>
      <c r="C824" s="2" t="s">
        <v>14</v>
      </c>
      <c r="D824" s="2" t="s">
        <v>15</v>
      </c>
      <c r="E824" s="2" t="s">
        <v>23</v>
      </c>
      <c r="F824" s="3">
        <f>+5491127477430</f>
        <v>5491127477430</v>
      </c>
      <c r="G824" s="2" t="s">
        <v>3534</v>
      </c>
      <c r="H824" s="2" t="s">
        <v>25</v>
      </c>
      <c r="I824" s="2" t="s">
        <v>49</v>
      </c>
      <c r="J824" s="2" t="s">
        <v>49</v>
      </c>
      <c r="K824" s="4">
        <v>46128.0</v>
      </c>
      <c r="L824" s="2" t="s">
        <v>3535</v>
      </c>
    </row>
    <row r="825">
      <c r="A825" s="2" t="s">
        <v>3536</v>
      </c>
      <c r="B825" s="2" t="s">
        <v>3537</v>
      </c>
      <c r="C825" s="2" t="s">
        <v>14</v>
      </c>
      <c r="D825" s="2" t="s">
        <v>15</v>
      </c>
      <c r="E825" s="2" t="s">
        <v>23</v>
      </c>
      <c r="F825" s="3">
        <f>+5491123363457</f>
        <v>5491123363457</v>
      </c>
      <c r="G825" s="2" t="s">
        <v>3538</v>
      </c>
      <c r="H825" s="2" t="s">
        <v>25</v>
      </c>
      <c r="I825" s="2" t="s">
        <v>481</v>
      </c>
      <c r="J825" s="2" t="s">
        <v>3479</v>
      </c>
      <c r="K825" s="4">
        <v>46128.0</v>
      </c>
      <c r="L825" s="2" t="s">
        <v>3539</v>
      </c>
    </row>
    <row r="826">
      <c r="A826" s="2" t="s">
        <v>3540</v>
      </c>
      <c r="B826" s="3" t="str">
        <f>+d50 Cafeteria Y Sandwicheria</f>
        <v>#ERROR!</v>
      </c>
      <c r="C826" s="2" t="s">
        <v>14</v>
      </c>
      <c r="D826" s="2" t="s">
        <v>15</v>
      </c>
      <c r="E826" s="2" t="s">
        <v>23</v>
      </c>
      <c r="F826" s="3">
        <f>+5491124762121</f>
        <v>5491124762121</v>
      </c>
      <c r="G826" s="2" t="s">
        <v>3541</v>
      </c>
      <c r="H826" s="2" t="s">
        <v>32</v>
      </c>
      <c r="I826" s="2" t="s">
        <v>25</v>
      </c>
      <c r="J826" s="2" t="s">
        <v>702</v>
      </c>
      <c r="K826" s="4">
        <v>46128.0</v>
      </c>
      <c r="L826" s="2" t="s">
        <v>3542</v>
      </c>
    </row>
    <row r="827">
      <c r="A827" s="2" t="s">
        <v>3543</v>
      </c>
      <c r="B827" s="2" t="s">
        <v>3544</v>
      </c>
      <c r="C827" s="2" t="s">
        <v>14</v>
      </c>
      <c r="D827" s="2" t="s">
        <v>15</v>
      </c>
      <c r="E827" s="2" t="s">
        <v>23</v>
      </c>
      <c r="F827" s="3">
        <f>+5493492563434</f>
        <v>5493492563434</v>
      </c>
      <c r="G827" s="2" t="s">
        <v>3545</v>
      </c>
      <c r="H827" s="2" t="s">
        <v>65</v>
      </c>
      <c r="I827" s="2" t="s">
        <v>1000</v>
      </c>
      <c r="J827" s="2" t="s">
        <v>1000</v>
      </c>
      <c r="K827" s="4">
        <v>46128.0</v>
      </c>
      <c r="L827" s="2" t="s">
        <v>3546</v>
      </c>
    </row>
    <row r="828">
      <c r="A828" s="2" t="s">
        <v>3547</v>
      </c>
      <c r="B828" s="2" t="s">
        <v>3548</v>
      </c>
      <c r="C828" s="2" t="s">
        <v>14</v>
      </c>
      <c r="D828" s="2" t="s">
        <v>15</v>
      </c>
      <c r="E828" s="2" t="s">
        <v>23</v>
      </c>
      <c r="F828" s="3">
        <f>+5491165065319</f>
        <v>5491165065319</v>
      </c>
      <c r="G828" s="2" t="s">
        <v>3549</v>
      </c>
      <c r="H828" s="2" t="s">
        <v>32</v>
      </c>
      <c r="I828" s="2" t="s">
        <v>25</v>
      </c>
      <c r="J828" s="2" t="s">
        <v>759</v>
      </c>
      <c r="K828" s="4">
        <v>46128.0</v>
      </c>
      <c r="L828" s="2" t="s">
        <v>3550</v>
      </c>
    </row>
    <row r="829">
      <c r="A829" s="2" t="s">
        <v>3551</v>
      </c>
      <c r="B829" s="2" t="s">
        <v>3552</v>
      </c>
      <c r="C829" s="2" t="s">
        <v>14</v>
      </c>
      <c r="D829" s="2" t="s">
        <v>15</v>
      </c>
      <c r="E829" s="2" t="s">
        <v>23</v>
      </c>
      <c r="F829" s="3">
        <f>+5493515494116</f>
        <v>5493515494116</v>
      </c>
      <c r="G829" s="2" t="s">
        <v>3553</v>
      </c>
      <c r="H829" s="2" t="s">
        <v>18</v>
      </c>
      <c r="I829" s="2" t="s">
        <v>18</v>
      </c>
      <c r="J829" s="2" t="s">
        <v>2260</v>
      </c>
      <c r="K829" s="4">
        <v>46128.0</v>
      </c>
      <c r="L829" s="2" t="s">
        <v>3554</v>
      </c>
    </row>
    <row r="830">
      <c r="A830" s="2" t="s">
        <v>3555</v>
      </c>
      <c r="B830" s="2" t="s">
        <v>3556</v>
      </c>
      <c r="C830" s="2" t="s">
        <v>14</v>
      </c>
      <c r="D830" s="2" t="s">
        <v>15</v>
      </c>
      <c r="E830" s="2" t="s">
        <v>23</v>
      </c>
      <c r="F830" s="3">
        <f>+5491141683972</f>
        <v>5491141683972</v>
      </c>
      <c r="G830" s="2" t="s">
        <v>3557</v>
      </c>
      <c r="H830" s="2" t="s">
        <v>25</v>
      </c>
      <c r="I830" s="2" t="s">
        <v>1920</v>
      </c>
      <c r="J830" s="2" t="s">
        <v>1920</v>
      </c>
      <c r="K830" s="4">
        <v>46128.0</v>
      </c>
      <c r="L830" s="2" t="s">
        <v>3558</v>
      </c>
    </row>
    <row r="831">
      <c r="A831" s="2" t="s">
        <v>3559</v>
      </c>
      <c r="B831" s="2" t="s">
        <v>3560</v>
      </c>
      <c r="C831" s="2" t="s">
        <v>14</v>
      </c>
      <c r="D831" s="2" t="s">
        <v>15</v>
      </c>
      <c r="E831" s="2" t="s">
        <v>23</v>
      </c>
      <c r="F831" s="3">
        <f>+5491133710383</f>
        <v>5491133710383</v>
      </c>
      <c r="G831" s="2" t="s">
        <v>3561</v>
      </c>
      <c r="H831" s="2" t="s">
        <v>25</v>
      </c>
      <c r="I831" s="2" t="s">
        <v>26</v>
      </c>
      <c r="J831" s="2" t="s">
        <v>428</v>
      </c>
      <c r="K831" s="4">
        <v>46128.0</v>
      </c>
      <c r="L831" s="2" t="s">
        <v>3562</v>
      </c>
    </row>
    <row r="832">
      <c r="A832" s="2" t="s">
        <v>3563</v>
      </c>
      <c r="B832" s="2" t="s">
        <v>3564</v>
      </c>
      <c r="C832" s="2" t="s">
        <v>14</v>
      </c>
      <c r="D832" s="2" t="s">
        <v>15</v>
      </c>
      <c r="E832" s="2" t="s">
        <v>23</v>
      </c>
      <c r="F832" s="3">
        <f>+5493513090581</f>
        <v>5493513090581</v>
      </c>
      <c r="G832" s="2" t="s">
        <v>3565</v>
      </c>
      <c r="H832" s="2" t="s">
        <v>18</v>
      </c>
      <c r="I832" s="2" t="s">
        <v>18</v>
      </c>
      <c r="J832" s="2" t="s">
        <v>778</v>
      </c>
      <c r="K832" s="4">
        <v>46128.0</v>
      </c>
      <c r="L832" s="2" t="s">
        <v>3566</v>
      </c>
    </row>
    <row r="833">
      <c r="A833" s="2" t="s">
        <v>3567</v>
      </c>
      <c r="B833" s="2" t="s">
        <v>3568</v>
      </c>
      <c r="C833" s="2" t="s">
        <v>14</v>
      </c>
      <c r="D833" s="2" t="s">
        <v>15</v>
      </c>
      <c r="E833" s="2" t="s">
        <v>16</v>
      </c>
      <c r="F833" s="3">
        <f>+5491138830505</f>
        <v>5491138830505</v>
      </c>
      <c r="G833" s="2" t="s">
        <v>3569</v>
      </c>
      <c r="H833" s="2" t="s">
        <v>32</v>
      </c>
      <c r="I833" s="2" t="s">
        <v>25</v>
      </c>
      <c r="J833" s="2" t="s">
        <v>846</v>
      </c>
      <c r="K833" s="4">
        <v>46128.0</v>
      </c>
      <c r="L833" s="2" t="s">
        <v>3570</v>
      </c>
    </row>
    <row r="834">
      <c r="A834" s="2" t="s">
        <v>3571</v>
      </c>
      <c r="B834" s="2" t="s">
        <v>3572</v>
      </c>
      <c r="C834" s="2" t="s">
        <v>14</v>
      </c>
      <c r="D834" s="2" t="s">
        <v>15</v>
      </c>
      <c r="E834" s="2" t="s">
        <v>23</v>
      </c>
      <c r="F834" s="3">
        <f>+5491126224928</f>
        <v>5491126224928</v>
      </c>
      <c r="G834" s="2" t="s">
        <v>3573</v>
      </c>
      <c r="H834" s="2" t="s">
        <v>25</v>
      </c>
      <c r="I834" s="2" t="s">
        <v>230</v>
      </c>
      <c r="J834" s="2" t="s">
        <v>231</v>
      </c>
      <c r="K834" s="4">
        <v>46128.0</v>
      </c>
      <c r="L834" s="2" t="s">
        <v>3574</v>
      </c>
    </row>
    <row r="835">
      <c r="A835" s="2" t="s">
        <v>3575</v>
      </c>
      <c r="B835" s="2" t="s">
        <v>3576</v>
      </c>
      <c r="C835" s="2" t="s">
        <v>14</v>
      </c>
      <c r="D835" s="2" t="s">
        <v>15</v>
      </c>
      <c r="E835" s="2" t="s">
        <v>16</v>
      </c>
      <c r="F835" s="3">
        <f>+5491147112000</f>
        <v>5491147112000</v>
      </c>
      <c r="G835" s="2" t="s">
        <v>3577</v>
      </c>
      <c r="H835" s="2" t="s">
        <v>32</v>
      </c>
      <c r="I835" s="2" t="s">
        <v>25</v>
      </c>
      <c r="J835" s="2" t="s">
        <v>594</v>
      </c>
      <c r="K835" s="4">
        <v>46128.0</v>
      </c>
      <c r="L835" s="2" t="s">
        <v>3578</v>
      </c>
    </row>
    <row r="836">
      <c r="A836" s="2" t="s">
        <v>3579</v>
      </c>
      <c r="B836" s="2" t="s">
        <v>3580</v>
      </c>
      <c r="C836" s="2" t="s">
        <v>14</v>
      </c>
      <c r="D836" s="2" t="s">
        <v>15</v>
      </c>
      <c r="E836" s="2" t="s">
        <v>23</v>
      </c>
      <c r="F836" s="3">
        <f>+5491165775565</f>
        <v>5491165775565</v>
      </c>
      <c r="G836" s="2" t="s">
        <v>3581</v>
      </c>
      <c r="H836" s="2" t="s">
        <v>32</v>
      </c>
      <c r="I836" s="2" t="s">
        <v>25</v>
      </c>
      <c r="J836" s="2" t="s">
        <v>759</v>
      </c>
      <c r="K836" s="4">
        <v>46128.0</v>
      </c>
      <c r="L836" s="2" t="s">
        <v>3582</v>
      </c>
    </row>
    <row r="837">
      <c r="A837" s="2" t="s">
        <v>3583</v>
      </c>
      <c r="B837" s="2" t="s">
        <v>3584</v>
      </c>
      <c r="C837" s="2" t="s">
        <v>14</v>
      </c>
      <c r="D837" s="2" t="s">
        <v>15</v>
      </c>
      <c r="E837" s="2" t="s">
        <v>23</v>
      </c>
      <c r="F837" s="3">
        <f>+5492615463915</f>
        <v>5492615463915</v>
      </c>
      <c r="G837" s="2" t="s">
        <v>3585</v>
      </c>
      <c r="H837" s="2" t="s">
        <v>71</v>
      </c>
      <c r="I837" s="2" t="s">
        <v>72</v>
      </c>
      <c r="J837" s="2" t="s">
        <v>3586</v>
      </c>
      <c r="K837" s="4">
        <v>46128.0</v>
      </c>
      <c r="L837" s="2" t="s">
        <v>3587</v>
      </c>
    </row>
    <row r="838">
      <c r="A838" s="2" t="s">
        <v>3588</v>
      </c>
      <c r="B838" s="2" t="s">
        <v>3589</v>
      </c>
      <c r="C838" s="2" t="s">
        <v>14</v>
      </c>
      <c r="D838" s="2" t="s">
        <v>15</v>
      </c>
      <c r="E838" s="2" t="s">
        <v>23</v>
      </c>
      <c r="F838" s="3">
        <f>+5491138454432</f>
        <v>5491138454432</v>
      </c>
      <c r="G838" s="2" t="s">
        <v>3590</v>
      </c>
      <c r="H838" s="2" t="s">
        <v>25</v>
      </c>
      <c r="I838" s="2" t="s">
        <v>764</v>
      </c>
      <c r="J838" s="2" t="s">
        <v>1213</v>
      </c>
      <c r="K838" s="4">
        <v>46128.0</v>
      </c>
      <c r="L838" s="2" t="s">
        <v>3591</v>
      </c>
    </row>
    <row r="839">
      <c r="A839" s="2" t="s">
        <v>3592</v>
      </c>
      <c r="B839" s="2" t="s">
        <v>3593</v>
      </c>
      <c r="C839" s="2" t="s">
        <v>14</v>
      </c>
      <c r="D839" s="2" t="s">
        <v>15</v>
      </c>
      <c r="E839" s="2" t="s">
        <v>23</v>
      </c>
      <c r="F839" s="3">
        <f>+5493514886813</f>
        <v>5493514886813</v>
      </c>
      <c r="G839" s="2" t="s">
        <v>3594</v>
      </c>
      <c r="H839" s="2" t="s">
        <v>18</v>
      </c>
      <c r="I839" s="2" t="s">
        <v>18</v>
      </c>
      <c r="J839" s="2" t="s">
        <v>3595</v>
      </c>
      <c r="K839" s="4">
        <v>46128.0</v>
      </c>
      <c r="L839" s="2" t="s">
        <v>3596</v>
      </c>
    </row>
    <row r="840">
      <c r="A840" s="2" t="s">
        <v>3597</v>
      </c>
      <c r="B840" s="2" t="s">
        <v>3598</v>
      </c>
      <c r="C840" s="2" t="s">
        <v>14</v>
      </c>
      <c r="D840" s="2" t="s">
        <v>15</v>
      </c>
      <c r="E840" s="2" t="s">
        <v>23</v>
      </c>
      <c r="F840" s="3">
        <f>+5491136379553</f>
        <v>5491136379553</v>
      </c>
      <c r="G840" s="2" t="s">
        <v>3599</v>
      </c>
      <c r="H840" s="2" t="s">
        <v>25</v>
      </c>
      <c r="I840" s="2" t="s">
        <v>49</v>
      </c>
      <c r="J840" s="2" t="s">
        <v>418</v>
      </c>
      <c r="K840" s="4">
        <v>46128.0</v>
      </c>
      <c r="L840" s="2" t="s">
        <v>3600</v>
      </c>
    </row>
    <row r="841">
      <c r="A841" s="2" t="s">
        <v>3601</v>
      </c>
      <c r="B841" s="2" t="s">
        <v>3602</v>
      </c>
      <c r="C841" s="2" t="s">
        <v>14</v>
      </c>
      <c r="D841" s="2" t="s">
        <v>15</v>
      </c>
      <c r="E841" s="2" t="s">
        <v>23</v>
      </c>
      <c r="F841" s="3">
        <f>+5491138463753</f>
        <v>5491138463753</v>
      </c>
      <c r="G841" s="2" t="s">
        <v>3603</v>
      </c>
      <c r="H841" s="2" t="s">
        <v>25</v>
      </c>
      <c r="I841" s="2" t="s">
        <v>971</v>
      </c>
      <c r="J841" s="2" t="s">
        <v>971</v>
      </c>
      <c r="K841" s="4">
        <v>46128.0</v>
      </c>
      <c r="L841" s="2" t="s">
        <v>3604</v>
      </c>
    </row>
    <row r="842">
      <c r="A842" s="2" t="s">
        <v>3605</v>
      </c>
      <c r="B842" s="2" t="s">
        <v>3606</v>
      </c>
      <c r="C842" s="2" t="s">
        <v>14</v>
      </c>
      <c r="D842" s="2" t="s">
        <v>15</v>
      </c>
      <c r="E842" s="2" t="s">
        <v>16</v>
      </c>
      <c r="F842" s="3">
        <f>+5492215674122</f>
        <v>5492215674122</v>
      </c>
      <c r="G842" s="2" t="s">
        <v>3607</v>
      </c>
      <c r="H842" s="2" t="s">
        <v>25</v>
      </c>
      <c r="I842" s="2" t="s">
        <v>44</v>
      </c>
      <c r="J842" s="2" t="s">
        <v>1901</v>
      </c>
      <c r="K842" s="4">
        <v>46128.0</v>
      </c>
      <c r="L842" s="2" t="s">
        <v>3608</v>
      </c>
    </row>
    <row r="843">
      <c r="A843" s="2" t="s">
        <v>3609</v>
      </c>
      <c r="B843" s="2" t="s">
        <v>3610</v>
      </c>
      <c r="C843" s="2" t="s">
        <v>14</v>
      </c>
      <c r="D843" s="2" t="s">
        <v>15</v>
      </c>
      <c r="E843" s="2" t="s">
        <v>16</v>
      </c>
      <c r="F843" s="3">
        <f>+54223155059144</f>
        <v>54223155059144</v>
      </c>
      <c r="G843" s="2" t="s">
        <v>3611</v>
      </c>
      <c r="H843" s="2" t="s">
        <v>25</v>
      </c>
      <c r="I843" s="2" t="s">
        <v>3011</v>
      </c>
      <c r="J843" s="2" t="s">
        <v>3011</v>
      </c>
      <c r="K843" s="4">
        <v>46128.0</v>
      </c>
      <c r="L843" s="2" t="s">
        <v>3612</v>
      </c>
    </row>
    <row r="844">
      <c r="A844" s="2" t="s">
        <v>3613</v>
      </c>
      <c r="B844" s="2" t="s">
        <v>3614</v>
      </c>
      <c r="C844" s="2" t="s">
        <v>14</v>
      </c>
      <c r="D844" s="2" t="s">
        <v>15</v>
      </c>
      <c r="E844" s="2" t="s">
        <v>23</v>
      </c>
      <c r="F844" s="3">
        <f>+5491166798100</f>
        <v>5491166798100</v>
      </c>
      <c r="G844" s="2" t="s">
        <v>3615</v>
      </c>
      <c r="H844" s="2" t="s">
        <v>25</v>
      </c>
      <c r="I844" s="2" t="s">
        <v>241</v>
      </c>
      <c r="J844" s="2" t="s">
        <v>241</v>
      </c>
      <c r="K844" s="4">
        <v>46128.0</v>
      </c>
      <c r="L844" s="2" t="s">
        <v>3616</v>
      </c>
    </row>
    <row r="845">
      <c r="A845" s="2" t="s">
        <v>3617</v>
      </c>
      <c r="B845" s="2" t="s">
        <v>3618</v>
      </c>
      <c r="C845" s="2" t="s">
        <v>14</v>
      </c>
      <c r="D845" s="2" t="s">
        <v>15</v>
      </c>
      <c r="E845" s="2" t="s">
        <v>23</v>
      </c>
      <c r="F845" s="3">
        <f>+5492241674541</f>
        <v>5492241674541</v>
      </c>
      <c r="G845" s="2" t="s">
        <v>3619</v>
      </c>
      <c r="H845" s="2" t="s">
        <v>25</v>
      </c>
      <c r="I845" s="2" t="s">
        <v>44</v>
      </c>
      <c r="J845" s="2" t="s">
        <v>44</v>
      </c>
      <c r="K845" s="4">
        <v>46128.0</v>
      </c>
      <c r="L845" s="2" t="s">
        <v>3620</v>
      </c>
    </row>
    <row r="846">
      <c r="A846" s="2" t="s">
        <v>3621</v>
      </c>
      <c r="B846" s="2" t="s">
        <v>3622</v>
      </c>
      <c r="C846" s="2" t="s">
        <v>14</v>
      </c>
      <c r="D846" s="2" t="s">
        <v>15</v>
      </c>
      <c r="E846" s="2" t="s">
        <v>23</v>
      </c>
      <c r="F846" s="3">
        <f>+5493513853515</f>
        <v>5493513853515</v>
      </c>
      <c r="G846" s="2" t="s">
        <v>3623</v>
      </c>
      <c r="H846" s="2" t="s">
        <v>18</v>
      </c>
      <c r="I846" s="2" t="s">
        <v>18</v>
      </c>
      <c r="J846" s="2" t="s">
        <v>1767</v>
      </c>
      <c r="K846" s="4">
        <v>46128.0</v>
      </c>
      <c r="L846" s="2" t="s">
        <v>3624</v>
      </c>
    </row>
    <row r="847">
      <c r="A847" s="2" t="s">
        <v>3625</v>
      </c>
      <c r="B847" s="2" t="s">
        <v>3626</v>
      </c>
      <c r="C847" s="2" t="s">
        <v>14</v>
      </c>
      <c r="D847" s="2" t="s">
        <v>15</v>
      </c>
      <c r="E847" s="2" t="s">
        <v>23</v>
      </c>
      <c r="F847" s="3">
        <f>+5491150187429</f>
        <v>5491150187429</v>
      </c>
      <c r="G847" s="2" t="s">
        <v>3627</v>
      </c>
      <c r="H847" s="2" t="s">
        <v>25</v>
      </c>
      <c r="I847" s="2" t="s">
        <v>971</v>
      </c>
      <c r="J847" s="2" t="s">
        <v>971</v>
      </c>
      <c r="K847" s="4">
        <v>46128.0</v>
      </c>
      <c r="L847" s="2" t="s">
        <v>3628</v>
      </c>
    </row>
    <row r="848">
      <c r="A848" s="2" t="s">
        <v>3629</v>
      </c>
      <c r="B848" s="2" t="s">
        <v>3630</v>
      </c>
      <c r="C848" s="2" t="s">
        <v>14</v>
      </c>
      <c r="D848" s="2" t="s">
        <v>15</v>
      </c>
      <c r="E848" s="2" t="s">
        <v>23</v>
      </c>
      <c r="F848" s="3">
        <f>+5491173727702</f>
        <v>5491173727702</v>
      </c>
      <c r="G848" s="2" t="s">
        <v>3631</v>
      </c>
      <c r="H848" s="2" t="s">
        <v>25</v>
      </c>
      <c r="I848" s="2" t="s">
        <v>550</v>
      </c>
      <c r="J848" s="2" t="s">
        <v>550</v>
      </c>
      <c r="K848" s="4">
        <v>46128.0</v>
      </c>
      <c r="L848" s="2" t="s">
        <v>3632</v>
      </c>
    </row>
    <row r="849">
      <c r="A849" s="2" t="s">
        <v>3633</v>
      </c>
      <c r="B849" s="2" t="s">
        <v>3634</v>
      </c>
      <c r="C849" s="2" t="s">
        <v>14</v>
      </c>
      <c r="D849" s="2" t="s">
        <v>15</v>
      </c>
      <c r="E849" s="2" t="s">
        <v>23</v>
      </c>
      <c r="F849" s="3">
        <f>+5491166474586</f>
        <v>5491166474586</v>
      </c>
      <c r="G849" s="2" t="s">
        <v>3635</v>
      </c>
      <c r="H849" s="2" t="s">
        <v>25</v>
      </c>
      <c r="I849" s="2" t="s">
        <v>764</v>
      </c>
      <c r="J849" s="2" t="s">
        <v>764</v>
      </c>
      <c r="K849" s="4">
        <v>46128.0</v>
      </c>
      <c r="L849" s="2" t="s">
        <v>3636</v>
      </c>
    </row>
    <row r="850">
      <c r="A850" s="2" t="s">
        <v>3637</v>
      </c>
      <c r="B850" s="2" t="s">
        <v>3638</v>
      </c>
      <c r="C850" s="2" t="s">
        <v>14</v>
      </c>
      <c r="D850" s="2" t="s">
        <v>15</v>
      </c>
      <c r="E850" s="2" t="s">
        <v>23</v>
      </c>
      <c r="F850" s="3">
        <f>+5491157819880</f>
        <v>5491157819880</v>
      </c>
      <c r="G850" s="2" t="s">
        <v>3639</v>
      </c>
      <c r="H850" s="2" t="s">
        <v>32</v>
      </c>
      <c r="I850" s="2" t="s">
        <v>25</v>
      </c>
      <c r="J850" s="2" t="s">
        <v>594</v>
      </c>
      <c r="K850" s="4">
        <v>46128.0</v>
      </c>
      <c r="L850" s="2" t="s">
        <v>3640</v>
      </c>
    </row>
    <row r="851">
      <c r="A851" s="2" t="s">
        <v>3641</v>
      </c>
      <c r="B851" s="2" t="s">
        <v>3642</v>
      </c>
      <c r="C851" s="2" t="s">
        <v>14</v>
      </c>
      <c r="D851" s="2" t="s">
        <v>15</v>
      </c>
      <c r="E851" s="2" t="s">
        <v>16</v>
      </c>
      <c r="F851" s="3">
        <f>+54223155059144</f>
        <v>54223155059144</v>
      </c>
      <c r="G851" s="2" t="s">
        <v>3643</v>
      </c>
      <c r="H851" s="2" t="s">
        <v>25</v>
      </c>
      <c r="I851" s="2" t="s">
        <v>3011</v>
      </c>
      <c r="J851" s="2" t="s">
        <v>3011</v>
      </c>
      <c r="K851" s="4">
        <v>46128.0</v>
      </c>
      <c r="L851" s="2" t="s">
        <v>3644</v>
      </c>
    </row>
    <row r="852">
      <c r="A852" s="2" t="s">
        <v>3645</v>
      </c>
      <c r="B852" s="2" t="s">
        <v>3646</v>
      </c>
      <c r="C852" s="2" t="s">
        <v>14</v>
      </c>
      <c r="D852" s="2" t="s">
        <v>15</v>
      </c>
      <c r="E852" s="2" t="s">
        <v>23</v>
      </c>
      <c r="F852" s="3">
        <f>+5493517332424</f>
        <v>5493517332424</v>
      </c>
      <c r="G852" s="2" t="s">
        <v>3647</v>
      </c>
      <c r="H852" s="2" t="s">
        <v>18</v>
      </c>
      <c r="I852" s="2" t="s">
        <v>18</v>
      </c>
      <c r="J852" s="2" t="s">
        <v>2260</v>
      </c>
      <c r="K852" s="4">
        <v>46128.0</v>
      </c>
      <c r="L852" s="2" t="s">
        <v>3648</v>
      </c>
    </row>
    <row r="853">
      <c r="A853" s="2" t="s">
        <v>3649</v>
      </c>
      <c r="B853" s="2" t="s">
        <v>3650</v>
      </c>
      <c r="C853" s="2" t="s">
        <v>14</v>
      </c>
      <c r="D853" s="2" t="s">
        <v>15</v>
      </c>
      <c r="E853" s="2" t="s">
        <v>23</v>
      </c>
      <c r="F853" s="3">
        <f>+5493515319512</f>
        <v>5493515319512</v>
      </c>
      <c r="G853" s="2" t="s">
        <v>3651</v>
      </c>
      <c r="H853" s="2" t="s">
        <v>18</v>
      </c>
      <c r="I853" s="2" t="s">
        <v>18</v>
      </c>
      <c r="J853" s="2" t="s">
        <v>3652</v>
      </c>
      <c r="K853" s="4">
        <v>46128.0</v>
      </c>
      <c r="L853" s="2" t="s">
        <v>3653</v>
      </c>
    </row>
    <row r="854">
      <c r="A854" s="2" t="s">
        <v>3654</v>
      </c>
      <c r="B854" s="2" t="s">
        <v>3655</v>
      </c>
      <c r="C854" s="2" t="s">
        <v>14</v>
      </c>
      <c r="D854" s="2" t="s">
        <v>15</v>
      </c>
      <c r="E854" s="2" t="s">
        <v>16</v>
      </c>
      <c r="F854" s="3">
        <f>+5491149702517</f>
        <v>5491149702517</v>
      </c>
      <c r="G854" s="2" t="s">
        <v>3656</v>
      </c>
      <c r="H854" s="2" t="s">
        <v>32</v>
      </c>
      <c r="I854" s="2" t="s">
        <v>25</v>
      </c>
      <c r="J854" s="2" t="s">
        <v>1037</v>
      </c>
      <c r="K854" s="4">
        <v>46128.0</v>
      </c>
      <c r="L854" s="2" t="s">
        <v>3657</v>
      </c>
    </row>
    <row r="855">
      <c r="A855" s="2" t="s">
        <v>3658</v>
      </c>
      <c r="B855" s="2" t="s">
        <v>3659</v>
      </c>
      <c r="C855" s="2" t="s">
        <v>14</v>
      </c>
      <c r="D855" s="2" t="s">
        <v>15</v>
      </c>
      <c r="E855" s="2" t="s">
        <v>16</v>
      </c>
      <c r="F855" s="3">
        <f>+5491147112000</f>
        <v>5491147112000</v>
      </c>
      <c r="G855" s="2" t="s">
        <v>3660</v>
      </c>
      <c r="H855" s="2" t="s">
        <v>32</v>
      </c>
      <c r="I855" s="2" t="s">
        <v>25</v>
      </c>
      <c r="J855" s="2" t="s">
        <v>594</v>
      </c>
      <c r="K855" s="4">
        <v>46128.0</v>
      </c>
      <c r="L855" s="2" t="s">
        <v>3661</v>
      </c>
    </row>
    <row r="856">
      <c r="A856" s="2" t="s">
        <v>3662</v>
      </c>
      <c r="B856" s="2" t="s">
        <v>3663</v>
      </c>
      <c r="C856" s="2" t="s">
        <v>831</v>
      </c>
      <c r="D856" s="2" t="s">
        <v>15</v>
      </c>
      <c r="E856" s="2" t="s">
        <v>23</v>
      </c>
      <c r="F856" s="3">
        <f>+5491134544761</f>
        <v>5491134544761</v>
      </c>
      <c r="G856" s="2" t="s">
        <v>3664</v>
      </c>
      <c r="H856" s="2" t="s">
        <v>32</v>
      </c>
      <c r="I856" s="2" t="s">
        <v>25</v>
      </c>
      <c r="J856" s="2" t="s">
        <v>3665</v>
      </c>
      <c r="K856" s="4">
        <v>46128.0</v>
      </c>
      <c r="L856" s="2" t="s">
        <v>3666</v>
      </c>
    </row>
    <row r="857">
      <c r="A857" s="2" t="s">
        <v>3667</v>
      </c>
      <c r="B857" s="2" t="s">
        <v>3668</v>
      </c>
      <c r="C857" s="2" t="s">
        <v>14</v>
      </c>
      <c r="D857" s="2" t="s">
        <v>15</v>
      </c>
      <c r="E857" s="2" t="s">
        <v>16</v>
      </c>
      <c r="F857" s="3">
        <f>+54223155059144</f>
        <v>54223155059144</v>
      </c>
      <c r="G857" s="2" t="s">
        <v>3643</v>
      </c>
      <c r="H857" s="2" t="s">
        <v>25</v>
      </c>
      <c r="I857" s="2" t="s">
        <v>3011</v>
      </c>
      <c r="J857" s="2" t="s">
        <v>3011</v>
      </c>
      <c r="K857" s="4">
        <v>46128.0</v>
      </c>
      <c r="L857" s="2" t="s">
        <v>3644</v>
      </c>
    </row>
    <row r="858">
      <c r="A858" s="2" t="s">
        <v>3669</v>
      </c>
      <c r="B858" s="2" t="s">
        <v>3670</v>
      </c>
      <c r="C858" s="2" t="s">
        <v>14</v>
      </c>
      <c r="D858" s="2" t="s">
        <v>15</v>
      </c>
      <c r="E858" s="2" t="s">
        <v>23</v>
      </c>
      <c r="F858" s="3">
        <f>+5491165700096</f>
        <v>5491165700096</v>
      </c>
      <c r="G858" s="2" t="s">
        <v>3671</v>
      </c>
      <c r="H858" s="2" t="s">
        <v>25</v>
      </c>
      <c r="I858" s="2" t="s">
        <v>1920</v>
      </c>
      <c r="J858" s="2" t="s">
        <v>1920</v>
      </c>
      <c r="K858" s="4">
        <v>46128.0</v>
      </c>
      <c r="L858" s="2" t="s">
        <v>3672</v>
      </c>
    </row>
    <row r="859">
      <c r="A859" s="2" t="s">
        <v>3673</v>
      </c>
      <c r="B859" s="2" t="s">
        <v>3674</v>
      </c>
      <c r="C859" s="2" t="s">
        <v>14</v>
      </c>
      <c r="D859" s="2" t="s">
        <v>15</v>
      </c>
      <c r="E859" s="2" t="s">
        <v>23</v>
      </c>
      <c r="F859" s="3">
        <f>+5492616135614</f>
        <v>5492616135614</v>
      </c>
      <c r="G859" s="2" t="s">
        <v>3675</v>
      </c>
      <c r="H859" s="2" t="s">
        <v>71</v>
      </c>
      <c r="I859" s="2" t="s">
        <v>72</v>
      </c>
      <c r="J859" s="2" t="s">
        <v>3586</v>
      </c>
      <c r="K859" s="4">
        <v>46128.0</v>
      </c>
      <c r="L859" s="2" t="s">
        <v>3676</v>
      </c>
    </row>
    <row r="860">
      <c r="A860" s="2" t="s">
        <v>3677</v>
      </c>
      <c r="B860" s="2" t="s">
        <v>3678</v>
      </c>
      <c r="C860" s="2" t="s">
        <v>14</v>
      </c>
      <c r="D860" s="2" t="s">
        <v>15</v>
      </c>
      <c r="E860" s="2" t="s">
        <v>23</v>
      </c>
      <c r="F860" s="3">
        <f>+5491128432599</f>
        <v>5491128432599</v>
      </c>
      <c r="G860" s="2" t="s">
        <v>3679</v>
      </c>
      <c r="H860" s="2" t="s">
        <v>25</v>
      </c>
      <c r="I860" s="2" t="s">
        <v>550</v>
      </c>
      <c r="J860" s="2" t="s">
        <v>550</v>
      </c>
      <c r="K860" s="4">
        <v>46128.0</v>
      </c>
      <c r="L860" s="2" t="s">
        <v>3680</v>
      </c>
    </row>
    <row r="861">
      <c r="A861" s="2" t="s">
        <v>3681</v>
      </c>
      <c r="B861" s="2" t="s">
        <v>3682</v>
      </c>
      <c r="C861" s="2" t="s">
        <v>14</v>
      </c>
      <c r="D861" s="2" t="s">
        <v>15</v>
      </c>
      <c r="E861" s="2" t="s">
        <v>23</v>
      </c>
      <c r="F861" s="3">
        <f>+5491153861298</f>
        <v>5491153861298</v>
      </c>
      <c r="G861" s="2" t="s">
        <v>3683</v>
      </c>
      <c r="H861" s="2" t="s">
        <v>32</v>
      </c>
      <c r="I861" s="2" t="s">
        <v>25</v>
      </c>
      <c r="J861" s="2" t="s">
        <v>792</v>
      </c>
      <c r="K861" s="4">
        <v>46128.0</v>
      </c>
      <c r="L861" s="2" t="s">
        <v>3684</v>
      </c>
    </row>
    <row r="862">
      <c r="A862" s="2" t="s">
        <v>3685</v>
      </c>
      <c r="B862" s="2" t="s">
        <v>3686</v>
      </c>
      <c r="C862" s="2" t="s">
        <v>14</v>
      </c>
      <c r="D862" s="2" t="s">
        <v>15</v>
      </c>
      <c r="E862" s="2" t="s">
        <v>23</v>
      </c>
      <c r="F862" s="3">
        <f>+5491154019215</f>
        <v>5491154019215</v>
      </c>
      <c r="G862" s="2" t="s">
        <v>3687</v>
      </c>
      <c r="H862" s="2" t="s">
        <v>32</v>
      </c>
      <c r="I862" s="2" t="s">
        <v>25</v>
      </c>
      <c r="J862" s="2" t="s">
        <v>707</v>
      </c>
      <c r="K862" s="4">
        <v>46128.0</v>
      </c>
      <c r="L862" s="2" t="s">
        <v>3688</v>
      </c>
    </row>
    <row r="863">
      <c r="A863" s="2" t="s">
        <v>3689</v>
      </c>
      <c r="B863" s="2" t="s">
        <v>3690</v>
      </c>
      <c r="C863" s="2" t="s">
        <v>185</v>
      </c>
      <c r="D863" s="2" t="s">
        <v>15</v>
      </c>
      <c r="E863" s="2" t="s">
        <v>23</v>
      </c>
      <c r="F863" s="3">
        <f>+5491127412250</f>
        <v>5491127412250</v>
      </c>
      <c r="G863" s="2" t="s">
        <v>3691</v>
      </c>
      <c r="H863" s="2" t="s">
        <v>25</v>
      </c>
      <c r="I863" s="2" t="s">
        <v>246</v>
      </c>
      <c r="J863" s="2" t="s">
        <v>3692</v>
      </c>
      <c r="K863" s="4">
        <v>46128.0</v>
      </c>
      <c r="L863" s="2" t="s">
        <v>3693</v>
      </c>
    </row>
    <row r="864">
      <c r="A864" s="2" t="s">
        <v>3694</v>
      </c>
      <c r="B864" s="2" t="s">
        <v>3695</v>
      </c>
      <c r="C864" s="2" t="s">
        <v>14</v>
      </c>
      <c r="D864" s="2" t="s">
        <v>15</v>
      </c>
      <c r="E864" s="2" t="s">
        <v>23</v>
      </c>
      <c r="F864" s="3">
        <f>+5491144061834</f>
        <v>5491144061834</v>
      </c>
      <c r="G864" s="2" t="s">
        <v>3696</v>
      </c>
      <c r="H864" s="2" t="s">
        <v>25</v>
      </c>
      <c r="I864" s="2" t="s">
        <v>241</v>
      </c>
      <c r="J864" s="2" t="s">
        <v>2540</v>
      </c>
      <c r="K864" s="4">
        <v>46128.0</v>
      </c>
      <c r="L864" s="2" t="s">
        <v>3697</v>
      </c>
    </row>
    <row r="865">
      <c r="A865" s="2" t="s">
        <v>3698</v>
      </c>
      <c r="B865" s="2" t="s">
        <v>3699</v>
      </c>
      <c r="C865" s="2" t="s">
        <v>14</v>
      </c>
      <c r="D865" s="2" t="s">
        <v>15</v>
      </c>
      <c r="E865" s="2" t="s">
        <v>23</v>
      </c>
      <c r="F865" s="3">
        <f>+5492612539782</f>
        <v>5492612539782</v>
      </c>
      <c r="G865" s="2" t="s">
        <v>3700</v>
      </c>
      <c r="H865" s="2" t="s">
        <v>71</v>
      </c>
      <c r="I865" s="2" t="s">
        <v>1156</v>
      </c>
      <c r="J865" s="2" t="s">
        <v>3701</v>
      </c>
      <c r="K865" s="4">
        <v>46128.0</v>
      </c>
      <c r="L865" s="2" t="s">
        <v>3702</v>
      </c>
    </row>
    <row r="866">
      <c r="A866" s="2" t="s">
        <v>3703</v>
      </c>
      <c r="B866" s="2" t="s">
        <v>3704</v>
      </c>
      <c r="C866" s="2" t="s">
        <v>14</v>
      </c>
      <c r="D866" s="2" t="s">
        <v>15</v>
      </c>
      <c r="E866" s="2" t="s">
        <v>16</v>
      </c>
      <c r="F866" s="3">
        <f>+5491152725900</f>
        <v>5491152725900</v>
      </c>
      <c r="G866" s="2" t="s">
        <v>3705</v>
      </c>
      <c r="H866" s="2" t="s">
        <v>25</v>
      </c>
      <c r="I866" s="2" t="s">
        <v>550</v>
      </c>
      <c r="J866" s="2" t="s">
        <v>550</v>
      </c>
      <c r="K866" s="4">
        <v>46128.0</v>
      </c>
      <c r="L866" s="2" t="s">
        <v>3706</v>
      </c>
    </row>
    <row r="867">
      <c r="A867" s="2" t="s">
        <v>3707</v>
      </c>
      <c r="B867" s="2" t="s">
        <v>3708</v>
      </c>
      <c r="C867" s="2" t="s">
        <v>14</v>
      </c>
      <c r="D867" s="2" t="s">
        <v>15</v>
      </c>
      <c r="E867" s="2" t="s">
        <v>23</v>
      </c>
      <c r="F867" s="3">
        <f>+5491128431554</f>
        <v>5491128431554</v>
      </c>
      <c r="G867" s="2" t="s">
        <v>3709</v>
      </c>
      <c r="H867" s="2" t="s">
        <v>32</v>
      </c>
      <c r="I867" s="2" t="s">
        <v>25</v>
      </c>
      <c r="J867" s="2" t="s">
        <v>33</v>
      </c>
      <c r="K867" s="4">
        <v>46127.0</v>
      </c>
      <c r="L867" s="2" t="s">
        <v>3710</v>
      </c>
    </row>
    <row r="868">
      <c r="A868" s="2" t="s">
        <v>3711</v>
      </c>
      <c r="B868" s="2" t="s">
        <v>3712</v>
      </c>
      <c r="C868" s="2" t="s">
        <v>14</v>
      </c>
      <c r="D868" s="2" t="s">
        <v>15</v>
      </c>
      <c r="E868" s="2" t="s">
        <v>16</v>
      </c>
      <c r="F868" s="3">
        <f>+5493517381000</f>
        <v>5493517381000</v>
      </c>
      <c r="G868" s="2" t="s">
        <v>3713</v>
      </c>
      <c r="H868" s="2" t="s">
        <v>18</v>
      </c>
      <c r="I868" s="2" t="s">
        <v>589</v>
      </c>
      <c r="J868" s="2" t="s">
        <v>589</v>
      </c>
      <c r="K868" s="4">
        <v>46127.0</v>
      </c>
      <c r="L868" s="2" t="s">
        <v>3714</v>
      </c>
    </row>
    <row r="869">
      <c r="A869" s="2" t="s">
        <v>3715</v>
      </c>
      <c r="B869" s="2" t="s">
        <v>3716</v>
      </c>
      <c r="C869" s="2" t="s">
        <v>831</v>
      </c>
      <c r="D869" s="2" t="s">
        <v>15</v>
      </c>
      <c r="E869" s="2" t="s">
        <v>16</v>
      </c>
      <c r="F869" s="3">
        <f>+5491140512158</f>
        <v>5491140512158</v>
      </c>
      <c r="G869" s="2" t="s">
        <v>3717</v>
      </c>
      <c r="H869" s="2" t="s">
        <v>32</v>
      </c>
      <c r="I869" s="2" t="s">
        <v>25</v>
      </c>
      <c r="J869" s="2" t="s">
        <v>707</v>
      </c>
      <c r="K869" s="4">
        <v>46127.0</v>
      </c>
      <c r="L869" s="2" t="s">
        <v>3117</v>
      </c>
    </row>
    <row r="870">
      <c r="A870" s="2" t="s">
        <v>3718</v>
      </c>
      <c r="B870" s="2" t="s">
        <v>3719</v>
      </c>
      <c r="C870" s="2" t="s">
        <v>14</v>
      </c>
      <c r="D870" s="2" t="s">
        <v>15</v>
      </c>
      <c r="E870" s="2" t="s">
        <v>23</v>
      </c>
      <c r="F870" s="3">
        <f>+5491154285005</f>
        <v>5491154285005</v>
      </c>
      <c r="G870" s="2" t="s">
        <v>3720</v>
      </c>
      <c r="H870" s="2" t="s">
        <v>25</v>
      </c>
      <c r="I870" s="2" t="s">
        <v>486</v>
      </c>
      <c r="J870" s="2" t="s">
        <v>486</v>
      </c>
      <c r="K870" s="4">
        <v>46127.0</v>
      </c>
      <c r="L870" s="2" t="s">
        <v>3721</v>
      </c>
    </row>
    <row r="871">
      <c r="A871" s="2" t="s">
        <v>3722</v>
      </c>
      <c r="B871" s="2" t="s">
        <v>3723</v>
      </c>
      <c r="C871" s="2" t="s">
        <v>14</v>
      </c>
      <c r="D871" s="2" t="s">
        <v>15</v>
      </c>
      <c r="E871" s="2" t="s">
        <v>23</v>
      </c>
      <c r="F871" s="3">
        <f>+5492216071242</f>
        <v>5492216071242</v>
      </c>
      <c r="G871" s="2" t="s">
        <v>3724</v>
      </c>
      <c r="H871" s="2" t="s">
        <v>25</v>
      </c>
      <c r="I871" s="2" t="s">
        <v>44</v>
      </c>
      <c r="J871" s="2" t="s">
        <v>44</v>
      </c>
      <c r="K871" s="4">
        <v>46127.0</v>
      </c>
      <c r="L871" s="2" t="s">
        <v>3725</v>
      </c>
    </row>
    <row r="872">
      <c r="A872" s="2" t="s">
        <v>3726</v>
      </c>
      <c r="B872" s="2" t="s">
        <v>3727</v>
      </c>
      <c r="C872" s="2" t="s">
        <v>14</v>
      </c>
      <c r="D872" s="2" t="s">
        <v>15</v>
      </c>
      <c r="E872" s="2" t="s">
        <v>23</v>
      </c>
      <c r="F872" s="3">
        <f>+5493487547006</f>
        <v>5493487547006</v>
      </c>
      <c r="G872" s="2" t="s">
        <v>3728</v>
      </c>
      <c r="H872" s="2" t="s">
        <v>25</v>
      </c>
      <c r="I872" s="2" t="s">
        <v>3011</v>
      </c>
      <c r="J872" s="2" t="s">
        <v>3011</v>
      </c>
      <c r="K872" s="4">
        <v>46127.0</v>
      </c>
      <c r="L872" s="2" t="s">
        <v>3729</v>
      </c>
    </row>
    <row r="873">
      <c r="A873" s="2" t="s">
        <v>3730</v>
      </c>
      <c r="B873" s="2" t="s">
        <v>3731</v>
      </c>
      <c r="C873" s="2" t="s">
        <v>14</v>
      </c>
      <c r="D873" s="2" t="s">
        <v>15</v>
      </c>
      <c r="E873" s="2" t="s">
        <v>23</v>
      </c>
      <c r="F873" s="3">
        <f>+5491136472503</f>
        <v>5491136472503</v>
      </c>
      <c r="G873" s="2" t="s">
        <v>3732</v>
      </c>
      <c r="H873" s="2" t="s">
        <v>25</v>
      </c>
      <c r="I873" s="2" t="s">
        <v>118</v>
      </c>
      <c r="J873" s="2" t="s">
        <v>124</v>
      </c>
      <c r="K873" s="4">
        <v>46127.0</v>
      </c>
      <c r="L873" s="2" t="s">
        <v>3733</v>
      </c>
    </row>
    <row r="874">
      <c r="A874" s="2" t="s">
        <v>3734</v>
      </c>
      <c r="B874" s="2" t="s">
        <v>3735</v>
      </c>
      <c r="C874" s="2" t="s">
        <v>14</v>
      </c>
      <c r="D874" s="2" t="s">
        <v>15</v>
      </c>
      <c r="E874" s="2" t="s">
        <v>16</v>
      </c>
      <c r="F874" s="3">
        <f t="shared" ref="F874:F875" si="12">+5491157078429</f>
        <v>5491157078429</v>
      </c>
      <c r="G874" s="2" t="s">
        <v>3736</v>
      </c>
      <c r="H874" s="2" t="s">
        <v>25</v>
      </c>
      <c r="I874" s="2" t="s">
        <v>1297</v>
      </c>
      <c r="J874" s="2" t="s">
        <v>1297</v>
      </c>
      <c r="K874" s="4">
        <v>46127.0</v>
      </c>
      <c r="L874" s="2" t="s">
        <v>3737</v>
      </c>
    </row>
    <row r="875">
      <c r="A875" s="2" t="s">
        <v>3738</v>
      </c>
      <c r="B875" s="2" t="s">
        <v>3739</v>
      </c>
      <c r="C875" s="2" t="s">
        <v>14</v>
      </c>
      <c r="D875" s="2" t="s">
        <v>15</v>
      </c>
      <c r="E875" s="2" t="s">
        <v>16</v>
      </c>
      <c r="F875" s="3">
        <f t="shared" si="12"/>
        <v>5491157078429</v>
      </c>
      <c r="G875" s="2" t="s">
        <v>3736</v>
      </c>
      <c r="H875" s="2" t="s">
        <v>25</v>
      </c>
      <c r="I875" s="2" t="s">
        <v>1297</v>
      </c>
      <c r="J875" s="2" t="s">
        <v>1297</v>
      </c>
      <c r="K875" s="4">
        <v>46127.0</v>
      </c>
      <c r="L875" s="2" t="s">
        <v>3737</v>
      </c>
    </row>
    <row r="876">
      <c r="A876" s="2" t="s">
        <v>3740</v>
      </c>
      <c r="B876" s="2" t="s">
        <v>3741</v>
      </c>
      <c r="C876" s="2" t="s">
        <v>14</v>
      </c>
      <c r="D876" s="2" t="s">
        <v>15</v>
      </c>
      <c r="E876" s="2" t="s">
        <v>23</v>
      </c>
      <c r="F876" s="3">
        <f>+5492235406551</f>
        <v>5492235406551</v>
      </c>
      <c r="G876" s="2" t="s">
        <v>3742</v>
      </c>
      <c r="H876" s="2" t="s">
        <v>25</v>
      </c>
      <c r="I876" s="2" t="s">
        <v>649</v>
      </c>
      <c r="J876" s="2" t="s">
        <v>1174</v>
      </c>
      <c r="K876" s="4">
        <v>46127.0</v>
      </c>
      <c r="L876" s="2" t="s">
        <v>3743</v>
      </c>
    </row>
    <row r="877">
      <c r="A877" s="2" t="s">
        <v>3744</v>
      </c>
      <c r="B877" s="2" t="s">
        <v>3745</v>
      </c>
      <c r="C877" s="2" t="s">
        <v>14</v>
      </c>
      <c r="D877" s="2" t="s">
        <v>15</v>
      </c>
      <c r="E877" s="2" t="s">
        <v>23</v>
      </c>
      <c r="F877" s="3">
        <f>+5491162531313</f>
        <v>5491162531313</v>
      </c>
      <c r="G877" s="2" t="s">
        <v>3746</v>
      </c>
      <c r="H877" s="2" t="s">
        <v>25</v>
      </c>
      <c r="I877" s="2" t="s">
        <v>49</v>
      </c>
      <c r="J877" s="2" t="s">
        <v>2031</v>
      </c>
      <c r="K877" s="4">
        <v>46127.0</v>
      </c>
      <c r="L877" s="2" t="s">
        <v>3747</v>
      </c>
    </row>
    <row r="878">
      <c r="A878" s="2" t="s">
        <v>3748</v>
      </c>
      <c r="B878" s="2" t="s">
        <v>3749</v>
      </c>
      <c r="C878" s="2" t="s">
        <v>14</v>
      </c>
      <c r="D878" s="2" t="s">
        <v>15</v>
      </c>
      <c r="E878" s="2" t="s">
        <v>23</v>
      </c>
      <c r="F878" s="3">
        <f>+54901151505064</f>
        <v>54901151505064</v>
      </c>
      <c r="G878" s="2" t="s">
        <v>3750</v>
      </c>
      <c r="H878" s="2" t="s">
        <v>32</v>
      </c>
      <c r="I878" s="2" t="s">
        <v>25</v>
      </c>
      <c r="J878" s="2" t="s">
        <v>266</v>
      </c>
      <c r="K878" s="4">
        <v>46127.0</v>
      </c>
      <c r="L878" s="2" t="s">
        <v>3751</v>
      </c>
    </row>
    <row r="879">
      <c r="A879" s="2" t="s">
        <v>3752</v>
      </c>
      <c r="B879" s="2" t="s">
        <v>3753</v>
      </c>
      <c r="C879" s="2" t="s">
        <v>14</v>
      </c>
      <c r="D879" s="2" t="s">
        <v>15</v>
      </c>
      <c r="E879" s="2" t="s">
        <v>16</v>
      </c>
      <c r="F879" s="3">
        <f>+5491157078429</f>
        <v>5491157078429</v>
      </c>
      <c r="G879" s="2" t="s">
        <v>3754</v>
      </c>
      <c r="H879" s="2" t="s">
        <v>25</v>
      </c>
      <c r="I879" s="2" t="s">
        <v>1297</v>
      </c>
      <c r="J879" s="2" t="s">
        <v>1297</v>
      </c>
      <c r="K879" s="4">
        <v>46127.0</v>
      </c>
      <c r="L879" s="2" t="s">
        <v>3737</v>
      </c>
    </row>
    <row r="880">
      <c r="A880" s="2" t="s">
        <v>3755</v>
      </c>
      <c r="B880" s="2" t="s">
        <v>3756</v>
      </c>
      <c r="C880" s="2" t="s">
        <v>14</v>
      </c>
      <c r="D880" s="2" t="s">
        <v>15</v>
      </c>
      <c r="E880" s="2" t="s">
        <v>16</v>
      </c>
      <c r="F880" s="3">
        <f>+5491149702517</f>
        <v>5491149702517</v>
      </c>
      <c r="G880" s="2" t="s">
        <v>3757</v>
      </c>
      <c r="H880" s="2" t="s">
        <v>32</v>
      </c>
      <c r="I880" s="2" t="s">
        <v>25</v>
      </c>
      <c r="J880" s="2" t="s">
        <v>373</v>
      </c>
      <c r="K880" s="4">
        <v>46127.0</v>
      </c>
      <c r="L880" s="2" t="s">
        <v>3758</v>
      </c>
    </row>
    <row r="881">
      <c r="A881" s="2" t="s">
        <v>3759</v>
      </c>
      <c r="B881" s="2" t="s">
        <v>3760</v>
      </c>
      <c r="C881" s="2" t="s">
        <v>14</v>
      </c>
      <c r="D881" s="2" t="s">
        <v>15</v>
      </c>
      <c r="E881" s="2" t="s">
        <v>23</v>
      </c>
      <c r="F881" s="3">
        <f>+5491131962780</f>
        <v>5491131962780</v>
      </c>
      <c r="G881" s="2" t="s">
        <v>3761</v>
      </c>
      <c r="H881" s="2" t="s">
        <v>25</v>
      </c>
      <c r="I881" s="2" t="s">
        <v>84</v>
      </c>
      <c r="J881" s="2" t="s">
        <v>85</v>
      </c>
      <c r="K881" s="4">
        <v>46127.0</v>
      </c>
      <c r="L881" s="2" t="s">
        <v>3762</v>
      </c>
    </row>
    <row r="882">
      <c r="A882" s="2" t="s">
        <v>3763</v>
      </c>
      <c r="B882" s="2" t="s">
        <v>3764</v>
      </c>
      <c r="C882" s="2" t="s">
        <v>14</v>
      </c>
      <c r="D882" s="2" t="s">
        <v>15</v>
      </c>
      <c r="E882" s="2" t="s">
        <v>23</v>
      </c>
      <c r="F882" s="3">
        <f>+5491151353241</f>
        <v>5491151353241</v>
      </c>
      <c r="G882" s="2" t="s">
        <v>3765</v>
      </c>
      <c r="H882" s="2" t="s">
        <v>25</v>
      </c>
      <c r="I882" s="2" t="s">
        <v>957</v>
      </c>
      <c r="J882" s="2" t="s">
        <v>957</v>
      </c>
      <c r="K882" s="4">
        <v>46127.0</v>
      </c>
      <c r="L882" s="2" t="s">
        <v>3766</v>
      </c>
    </row>
    <row r="883">
      <c r="A883" s="2" t="s">
        <v>3767</v>
      </c>
      <c r="B883" s="2" t="s">
        <v>3768</v>
      </c>
      <c r="C883" s="2" t="s">
        <v>14</v>
      </c>
      <c r="D883" s="2" t="s">
        <v>15</v>
      </c>
      <c r="E883" s="2" t="s">
        <v>23</v>
      </c>
      <c r="F883" s="3">
        <f>+5492615083372</f>
        <v>5492615083372</v>
      </c>
      <c r="G883" s="2" t="s">
        <v>3769</v>
      </c>
      <c r="H883" s="2" t="s">
        <v>71</v>
      </c>
      <c r="I883" s="2" t="s">
        <v>1156</v>
      </c>
      <c r="J883" s="2" t="s">
        <v>2129</v>
      </c>
      <c r="K883" s="4">
        <v>46127.0</v>
      </c>
      <c r="L883" s="2" t="s">
        <v>3770</v>
      </c>
    </row>
    <row r="884">
      <c r="A884" s="2" t="s">
        <v>3771</v>
      </c>
      <c r="B884" s="2" t="s">
        <v>3772</v>
      </c>
      <c r="C884" s="2" t="s">
        <v>14</v>
      </c>
      <c r="D884" s="2" t="s">
        <v>15</v>
      </c>
      <c r="E884" s="2" t="s">
        <v>23</v>
      </c>
      <c r="F884" s="3">
        <f>+5492323345618</f>
        <v>5492323345618</v>
      </c>
      <c r="G884" s="2" t="s">
        <v>3773</v>
      </c>
      <c r="H884" s="2" t="s">
        <v>25</v>
      </c>
      <c r="I884" s="2" t="s">
        <v>1671</v>
      </c>
      <c r="J884" s="2" t="s">
        <v>1671</v>
      </c>
      <c r="K884" s="4">
        <v>46127.0</v>
      </c>
      <c r="L884" s="2" t="s">
        <v>3774</v>
      </c>
    </row>
    <row r="885">
      <c r="A885" s="2" t="s">
        <v>3775</v>
      </c>
      <c r="B885" s="2" t="s">
        <v>3776</v>
      </c>
      <c r="C885" s="2" t="s">
        <v>14</v>
      </c>
      <c r="D885" s="2" t="s">
        <v>15</v>
      </c>
      <c r="E885" s="2" t="s">
        <v>23</v>
      </c>
      <c r="F885" s="3">
        <f>+5491140353758</f>
        <v>5491140353758</v>
      </c>
      <c r="G885" s="2" t="s">
        <v>3777</v>
      </c>
      <c r="H885" s="2" t="s">
        <v>25</v>
      </c>
      <c r="I885" s="2" t="s">
        <v>357</v>
      </c>
      <c r="J885" s="2" t="s">
        <v>787</v>
      </c>
      <c r="K885" s="4">
        <v>46127.0</v>
      </c>
      <c r="L885" s="2" t="s">
        <v>3778</v>
      </c>
    </row>
    <row r="886">
      <c r="A886" s="2" t="s">
        <v>3779</v>
      </c>
      <c r="B886" s="2" t="s">
        <v>3780</v>
      </c>
      <c r="C886" s="2" t="s">
        <v>14</v>
      </c>
      <c r="D886" s="2" t="s">
        <v>15</v>
      </c>
      <c r="E886" s="2" t="s">
        <v>23</v>
      </c>
      <c r="F886" s="3">
        <f>+5492613062911</f>
        <v>5492613062911</v>
      </c>
      <c r="G886" s="2" t="s">
        <v>3781</v>
      </c>
      <c r="H886" s="2" t="s">
        <v>71</v>
      </c>
      <c r="I886" s="2" t="s">
        <v>902</v>
      </c>
      <c r="J886" s="2" t="s">
        <v>903</v>
      </c>
      <c r="K886" s="4">
        <v>46127.0</v>
      </c>
      <c r="L886" s="2" t="s">
        <v>3782</v>
      </c>
    </row>
    <row r="887">
      <c r="A887" s="2" t="s">
        <v>3783</v>
      </c>
      <c r="B887" s="2" t="s">
        <v>3784</v>
      </c>
      <c r="C887" s="2" t="s">
        <v>14</v>
      </c>
      <c r="D887" s="2" t="s">
        <v>15</v>
      </c>
      <c r="E887" s="2" t="s">
        <v>23</v>
      </c>
      <c r="F887" s="3">
        <f>+5491132193914</f>
        <v>5491132193914</v>
      </c>
      <c r="G887" s="2" t="s">
        <v>3785</v>
      </c>
      <c r="H887" s="2" t="s">
        <v>25</v>
      </c>
      <c r="I887" s="2" t="s">
        <v>357</v>
      </c>
      <c r="J887" s="2" t="s">
        <v>413</v>
      </c>
      <c r="K887" s="4">
        <v>46127.0</v>
      </c>
      <c r="L887" s="2" t="s">
        <v>3786</v>
      </c>
    </row>
    <row r="888">
      <c r="A888" s="2" t="s">
        <v>3787</v>
      </c>
      <c r="B888" s="2" t="s">
        <v>3788</v>
      </c>
      <c r="C888" s="2" t="s">
        <v>14</v>
      </c>
      <c r="D888" s="2" t="s">
        <v>15</v>
      </c>
      <c r="E888" s="2" t="s">
        <v>23</v>
      </c>
      <c r="F888" s="3">
        <f>+5491132293495</f>
        <v>5491132293495</v>
      </c>
      <c r="G888" s="2" t="s">
        <v>3789</v>
      </c>
      <c r="H888" s="2" t="s">
        <v>32</v>
      </c>
      <c r="I888" s="2" t="s">
        <v>25</v>
      </c>
      <c r="J888" s="2" t="s">
        <v>707</v>
      </c>
      <c r="K888" s="4">
        <v>46127.0</v>
      </c>
      <c r="L888" s="2" t="s">
        <v>3790</v>
      </c>
    </row>
    <row r="889">
      <c r="A889" s="2" t="s">
        <v>3791</v>
      </c>
      <c r="B889" s="2" t="s">
        <v>3792</v>
      </c>
      <c r="C889" s="2" t="s">
        <v>14</v>
      </c>
      <c r="D889" s="2" t="s">
        <v>15</v>
      </c>
      <c r="E889" s="2" t="s">
        <v>23</v>
      </c>
      <c r="F889" s="3">
        <f>+5491147603030</f>
        <v>5491147603030</v>
      </c>
      <c r="G889" s="2" t="s">
        <v>3793</v>
      </c>
      <c r="H889" s="2" t="s">
        <v>25</v>
      </c>
      <c r="I889" s="2" t="s">
        <v>486</v>
      </c>
      <c r="J889" s="2" t="s">
        <v>3794</v>
      </c>
      <c r="K889" s="4">
        <v>46127.0</v>
      </c>
      <c r="L889" s="2" t="s">
        <v>3795</v>
      </c>
    </row>
    <row r="890">
      <c r="A890" s="2" t="s">
        <v>3796</v>
      </c>
      <c r="B890" s="2" t="s">
        <v>3797</v>
      </c>
      <c r="C890" s="2" t="s">
        <v>14</v>
      </c>
      <c r="D890" s="2" t="s">
        <v>15</v>
      </c>
      <c r="E890" s="2" t="s">
        <v>23</v>
      </c>
      <c r="F890" s="3">
        <f>+5491164148440</f>
        <v>5491164148440</v>
      </c>
      <c r="G890" s="2" t="s">
        <v>3798</v>
      </c>
      <c r="H890" s="2" t="s">
        <v>32</v>
      </c>
      <c r="I890" s="2" t="s">
        <v>25</v>
      </c>
      <c r="J890" s="2" t="s">
        <v>594</v>
      </c>
      <c r="K890" s="4">
        <v>46127.0</v>
      </c>
      <c r="L890" s="2" t="s">
        <v>3799</v>
      </c>
    </row>
    <row r="891">
      <c r="A891" s="2" t="s">
        <v>3800</v>
      </c>
      <c r="B891" s="2" t="s">
        <v>3801</v>
      </c>
      <c r="C891" s="2" t="s">
        <v>14</v>
      </c>
      <c r="D891" s="2" t="s">
        <v>15</v>
      </c>
      <c r="E891" s="2" t="s">
        <v>23</v>
      </c>
      <c r="F891" s="3">
        <f>+5493516756634</f>
        <v>5493516756634</v>
      </c>
      <c r="G891" s="2" t="s">
        <v>3802</v>
      </c>
      <c r="H891" s="2" t="s">
        <v>18</v>
      </c>
      <c r="I891" s="2" t="s">
        <v>18</v>
      </c>
      <c r="J891" s="2" t="s">
        <v>778</v>
      </c>
      <c r="K891" s="4">
        <v>46127.0</v>
      </c>
      <c r="L891" s="2" t="s">
        <v>3803</v>
      </c>
    </row>
    <row r="892">
      <c r="A892" s="2" t="s">
        <v>3804</v>
      </c>
      <c r="B892" s="2" t="s">
        <v>3805</v>
      </c>
      <c r="C892" s="2" t="s">
        <v>14</v>
      </c>
      <c r="D892" s="2" t="s">
        <v>15</v>
      </c>
      <c r="E892" s="2" t="s">
        <v>16</v>
      </c>
      <c r="F892" s="3">
        <f>+5491149702517</f>
        <v>5491149702517</v>
      </c>
      <c r="G892" s="2" t="s">
        <v>3806</v>
      </c>
      <c r="H892" s="2" t="s">
        <v>32</v>
      </c>
      <c r="I892" s="2" t="s">
        <v>25</v>
      </c>
      <c r="J892" s="2" t="s">
        <v>792</v>
      </c>
      <c r="K892" s="4">
        <v>46127.0</v>
      </c>
      <c r="L892" s="2" t="s">
        <v>3807</v>
      </c>
    </row>
    <row r="893">
      <c r="A893" s="2" t="s">
        <v>3808</v>
      </c>
      <c r="B893" s="2" t="s">
        <v>3809</v>
      </c>
      <c r="C893" s="2" t="s">
        <v>14</v>
      </c>
      <c r="D893" s="2" t="s">
        <v>15</v>
      </c>
      <c r="E893" s="2" t="s">
        <v>23</v>
      </c>
      <c r="F893" s="3">
        <f>+5493413393676</f>
        <v>5493413393676</v>
      </c>
      <c r="G893" s="2" t="s">
        <v>3810</v>
      </c>
      <c r="H893" s="2" t="s">
        <v>65</v>
      </c>
      <c r="I893" s="2" t="s">
        <v>218</v>
      </c>
      <c r="J893" s="2" t="s">
        <v>3811</v>
      </c>
      <c r="K893" s="4">
        <v>46127.0</v>
      </c>
      <c r="L893" s="2" t="s">
        <v>3812</v>
      </c>
    </row>
    <row r="894">
      <c r="A894" s="2" t="s">
        <v>3813</v>
      </c>
      <c r="B894" s="2" t="s">
        <v>3814</v>
      </c>
      <c r="C894" s="2" t="s">
        <v>14</v>
      </c>
      <c r="D894" s="2" t="s">
        <v>15</v>
      </c>
      <c r="E894" s="2" t="s">
        <v>23</v>
      </c>
      <c r="F894" s="3">
        <f>+5492236211665</f>
        <v>5492236211665</v>
      </c>
      <c r="G894" s="2" t="s">
        <v>3815</v>
      </c>
      <c r="H894" s="2" t="s">
        <v>25</v>
      </c>
      <c r="I894" s="2" t="s">
        <v>649</v>
      </c>
      <c r="J894" s="2" t="s">
        <v>1991</v>
      </c>
      <c r="K894" s="4">
        <v>46127.0</v>
      </c>
      <c r="L894" s="2" t="s">
        <v>3816</v>
      </c>
    </row>
    <row r="895">
      <c r="A895" s="2" t="s">
        <v>3817</v>
      </c>
      <c r="B895" s="2" t="s">
        <v>3818</v>
      </c>
      <c r="C895" s="2" t="s">
        <v>14</v>
      </c>
      <c r="D895" s="2" t="s">
        <v>15</v>
      </c>
      <c r="E895" s="2" t="s">
        <v>23</v>
      </c>
      <c r="F895" s="3">
        <f>+5491156099665</f>
        <v>5491156099665</v>
      </c>
      <c r="G895" s="2" t="s">
        <v>3819</v>
      </c>
      <c r="H895" s="2" t="s">
        <v>25</v>
      </c>
      <c r="I895" s="2" t="s">
        <v>764</v>
      </c>
      <c r="J895" s="2" t="s">
        <v>764</v>
      </c>
      <c r="K895" s="4">
        <v>46127.0</v>
      </c>
      <c r="L895" s="2" t="s">
        <v>3820</v>
      </c>
    </row>
    <row r="896">
      <c r="A896" s="2" t="s">
        <v>3821</v>
      </c>
      <c r="B896" s="2" t="s">
        <v>3822</v>
      </c>
      <c r="C896" s="2" t="s">
        <v>14</v>
      </c>
      <c r="D896" s="2" t="s">
        <v>15</v>
      </c>
      <c r="E896" s="2" t="s">
        <v>23</v>
      </c>
      <c r="F896" s="3">
        <f>+5492616653047</f>
        <v>5492616653047</v>
      </c>
      <c r="G896" s="2" t="s">
        <v>3823</v>
      </c>
      <c r="H896" s="2" t="s">
        <v>71</v>
      </c>
      <c r="I896" s="2" t="s">
        <v>902</v>
      </c>
      <c r="J896" s="2" t="s">
        <v>989</v>
      </c>
      <c r="K896" s="4">
        <v>46127.0</v>
      </c>
      <c r="L896" s="2" t="s">
        <v>3824</v>
      </c>
    </row>
    <row r="897">
      <c r="A897" s="2" t="s">
        <v>3825</v>
      </c>
      <c r="B897" s="2" t="s">
        <v>3826</v>
      </c>
      <c r="C897" s="2" t="s">
        <v>14</v>
      </c>
      <c r="D897" s="2" t="s">
        <v>15</v>
      </c>
      <c r="E897" s="2" t="s">
        <v>23</v>
      </c>
      <c r="F897" s="3">
        <f>+5491162848931</f>
        <v>5491162848931</v>
      </c>
      <c r="G897" s="2" t="s">
        <v>3827</v>
      </c>
      <c r="H897" s="2" t="s">
        <v>25</v>
      </c>
      <c r="I897" s="2" t="s">
        <v>49</v>
      </c>
      <c r="J897" s="2" t="s">
        <v>49</v>
      </c>
      <c r="K897" s="4">
        <v>46127.0</v>
      </c>
      <c r="L897" s="2" t="s">
        <v>3828</v>
      </c>
    </row>
    <row r="898">
      <c r="A898" s="2" t="s">
        <v>3829</v>
      </c>
      <c r="B898" s="2" t="s">
        <v>3830</v>
      </c>
      <c r="C898" s="2" t="s">
        <v>14</v>
      </c>
      <c r="D898" s="2" t="s">
        <v>15</v>
      </c>
      <c r="E898" s="2" t="s">
        <v>23</v>
      </c>
      <c r="F898" s="3">
        <f>+5491162063382</f>
        <v>5491162063382</v>
      </c>
      <c r="G898" s="2" t="s">
        <v>3831</v>
      </c>
      <c r="H898" s="2" t="s">
        <v>25</v>
      </c>
      <c r="I898" s="2" t="s">
        <v>764</v>
      </c>
      <c r="J898" s="2" t="s">
        <v>764</v>
      </c>
      <c r="K898" s="4">
        <v>46127.0</v>
      </c>
      <c r="L898" s="2" t="s">
        <v>3832</v>
      </c>
    </row>
    <row r="899">
      <c r="A899" s="2" t="s">
        <v>3833</v>
      </c>
      <c r="B899" s="2" t="s">
        <v>3834</v>
      </c>
      <c r="C899" s="2" t="s">
        <v>14</v>
      </c>
      <c r="D899" s="2" t="s">
        <v>15</v>
      </c>
      <c r="E899" s="2" t="s">
        <v>23</v>
      </c>
      <c r="F899" s="3">
        <f>+5491160027816</f>
        <v>5491160027816</v>
      </c>
      <c r="G899" s="2" t="s">
        <v>3835</v>
      </c>
      <c r="H899" s="2" t="s">
        <v>25</v>
      </c>
      <c r="I899" s="2" t="s">
        <v>357</v>
      </c>
      <c r="J899" s="2" t="s">
        <v>787</v>
      </c>
      <c r="K899" s="4">
        <v>46127.0</v>
      </c>
      <c r="L899" s="2" t="s">
        <v>3836</v>
      </c>
    </row>
    <row r="900">
      <c r="A900" s="2" t="s">
        <v>3837</v>
      </c>
      <c r="B900" s="2" t="s">
        <v>3838</v>
      </c>
      <c r="C900" s="2" t="s">
        <v>14</v>
      </c>
      <c r="D900" s="2" t="s">
        <v>15</v>
      </c>
      <c r="E900" s="2" t="s">
        <v>23</v>
      </c>
      <c r="F900" s="3">
        <f>+5493813417549</f>
        <v>5493813417549</v>
      </c>
      <c r="G900" s="2" t="s">
        <v>3839</v>
      </c>
      <c r="H900" s="2" t="s">
        <v>55</v>
      </c>
      <c r="I900" s="2" t="s">
        <v>883</v>
      </c>
      <c r="J900" s="2" t="s">
        <v>3840</v>
      </c>
      <c r="K900" s="4">
        <v>46127.0</v>
      </c>
      <c r="L900" s="2" t="s">
        <v>3841</v>
      </c>
    </row>
    <row r="901">
      <c r="A901" s="2" t="s">
        <v>3842</v>
      </c>
      <c r="B901" s="2" t="s">
        <v>3843</v>
      </c>
      <c r="C901" s="2" t="s">
        <v>14</v>
      </c>
      <c r="D901" s="2" t="s">
        <v>15</v>
      </c>
      <c r="E901" s="2" t="s">
        <v>23</v>
      </c>
      <c r="F901" s="3">
        <f>+5492901555148</f>
        <v>5492901555148</v>
      </c>
      <c r="G901" s="2" t="s">
        <v>3844</v>
      </c>
      <c r="H901" s="2" t="s">
        <v>71</v>
      </c>
      <c r="I901" s="2" t="s">
        <v>1625</v>
      </c>
      <c r="J901" s="2" t="s">
        <v>3845</v>
      </c>
      <c r="K901" s="4">
        <v>46127.0</v>
      </c>
      <c r="L901" s="2" t="s">
        <v>3846</v>
      </c>
    </row>
    <row r="902">
      <c r="A902" s="2" t="s">
        <v>3847</v>
      </c>
      <c r="B902" s="2" t="s">
        <v>3848</v>
      </c>
      <c r="C902" s="2" t="s">
        <v>14</v>
      </c>
      <c r="D902" s="2" t="s">
        <v>15</v>
      </c>
      <c r="E902" s="2" t="s">
        <v>23</v>
      </c>
      <c r="F902" s="3">
        <f>+541137040875</f>
        <v>541137040875</v>
      </c>
      <c r="G902" s="2" t="s">
        <v>3849</v>
      </c>
      <c r="H902" s="2" t="s">
        <v>25</v>
      </c>
      <c r="I902" s="2" t="s">
        <v>550</v>
      </c>
      <c r="J902" s="2" t="s">
        <v>550</v>
      </c>
      <c r="K902" s="4">
        <v>46127.0</v>
      </c>
      <c r="L902" s="2" t="s">
        <v>3850</v>
      </c>
    </row>
    <row r="903">
      <c r="A903" s="2" t="s">
        <v>3851</v>
      </c>
      <c r="B903" s="2" t="s">
        <v>3852</v>
      </c>
      <c r="C903" s="2" t="s">
        <v>14</v>
      </c>
      <c r="D903" s="2" t="s">
        <v>15</v>
      </c>
      <c r="E903" s="2" t="s">
        <v>23</v>
      </c>
      <c r="F903" s="3">
        <f>+5491161917984</f>
        <v>5491161917984</v>
      </c>
      <c r="G903" s="2" t="s">
        <v>3853</v>
      </c>
      <c r="H903" s="2" t="s">
        <v>25</v>
      </c>
      <c r="I903" s="2" t="s">
        <v>357</v>
      </c>
      <c r="J903" s="2" t="s">
        <v>787</v>
      </c>
      <c r="K903" s="4">
        <v>46127.0</v>
      </c>
      <c r="L903" s="2" t="s">
        <v>3854</v>
      </c>
    </row>
    <row r="904">
      <c r="A904" s="2" t="s">
        <v>3855</v>
      </c>
      <c r="B904" s="2" t="s">
        <v>3856</v>
      </c>
      <c r="C904" s="2" t="s">
        <v>14</v>
      </c>
      <c r="D904" s="2" t="s">
        <v>15</v>
      </c>
      <c r="E904" s="2" t="s">
        <v>23</v>
      </c>
      <c r="F904" s="3">
        <f>+5491131592717</f>
        <v>5491131592717</v>
      </c>
      <c r="G904" s="2" t="s">
        <v>3857</v>
      </c>
      <c r="H904" s="2" t="s">
        <v>25</v>
      </c>
      <c r="I904" s="2" t="s">
        <v>49</v>
      </c>
      <c r="J904" s="2" t="s">
        <v>49</v>
      </c>
      <c r="K904" s="4">
        <v>46127.0</v>
      </c>
      <c r="L904" s="2" t="s">
        <v>3858</v>
      </c>
    </row>
    <row r="905">
      <c r="A905" s="2" t="s">
        <v>3859</v>
      </c>
      <c r="B905" s="2" t="s">
        <v>3860</v>
      </c>
      <c r="C905" s="2" t="s">
        <v>14</v>
      </c>
      <c r="D905" s="2" t="s">
        <v>15</v>
      </c>
      <c r="E905" s="2" t="s">
        <v>23</v>
      </c>
      <c r="F905" s="3">
        <f>+5491124748824</f>
        <v>5491124748824</v>
      </c>
      <c r="G905" s="2" t="s">
        <v>3861</v>
      </c>
      <c r="H905" s="2" t="s">
        <v>25</v>
      </c>
      <c r="I905" s="2" t="s">
        <v>38</v>
      </c>
      <c r="J905" s="2" t="s">
        <v>103</v>
      </c>
      <c r="K905" s="4">
        <v>46127.0</v>
      </c>
      <c r="L905" s="2" t="s">
        <v>3862</v>
      </c>
    </row>
    <row r="906">
      <c r="A906" s="2" t="s">
        <v>3863</v>
      </c>
      <c r="B906" s="2" t="s">
        <v>3864</v>
      </c>
      <c r="C906" s="2" t="s">
        <v>14</v>
      </c>
      <c r="D906" s="2" t="s">
        <v>15</v>
      </c>
      <c r="E906" s="2" t="s">
        <v>23</v>
      </c>
      <c r="F906" s="3">
        <f>+5493741417884</f>
        <v>5493741417884</v>
      </c>
      <c r="G906" s="2" t="s">
        <v>3865</v>
      </c>
      <c r="H906" s="2" t="s">
        <v>25</v>
      </c>
      <c r="I906" s="2" t="s">
        <v>314</v>
      </c>
      <c r="J906" s="2" t="s">
        <v>814</v>
      </c>
      <c r="K906" s="4">
        <v>46127.0</v>
      </c>
      <c r="L906" s="2" t="s">
        <v>3866</v>
      </c>
    </row>
    <row r="907">
      <c r="A907" s="2" t="s">
        <v>3867</v>
      </c>
      <c r="B907" s="2" t="s">
        <v>3868</v>
      </c>
      <c r="C907" s="2" t="s">
        <v>14</v>
      </c>
      <c r="D907" s="2" t="s">
        <v>15</v>
      </c>
      <c r="E907" s="2" t="s">
        <v>23</v>
      </c>
      <c r="F907" s="3">
        <f>+5491158321522</f>
        <v>5491158321522</v>
      </c>
      <c r="G907" s="2" t="s">
        <v>3869</v>
      </c>
      <c r="H907" s="2" t="s">
        <v>32</v>
      </c>
      <c r="I907" s="2" t="s">
        <v>25</v>
      </c>
      <c r="J907" s="2" t="s">
        <v>433</v>
      </c>
      <c r="K907" s="4">
        <v>46127.0</v>
      </c>
      <c r="L907" s="2" t="s">
        <v>3870</v>
      </c>
    </row>
    <row r="908">
      <c r="A908" s="2" t="s">
        <v>3871</v>
      </c>
      <c r="B908" s="2" t="s">
        <v>3872</v>
      </c>
      <c r="C908" s="2" t="s">
        <v>14</v>
      </c>
      <c r="D908" s="2" t="s">
        <v>15</v>
      </c>
      <c r="E908" s="2" t="s">
        <v>23</v>
      </c>
      <c r="F908" s="3">
        <f>+5491132293495</f>
        <v>5491132293495</v>
      </c>
      <c r="G908" s="2" t="s">
        <v>3873</v>
      </c>
      <c r="H908" s="2" t="s">
        <v>32</v>
      </c>
      <c r="I908" s="2" t="s">
        <v>25</v>
      </c>
      <c r="J908" s="2" t="s">
        <v>1267</v>
      </c>
      <c r="K908" s="4">
        <v>46127.0</v>
      </c>
      <c r="L908" s="2" t="s">
        <v>3874</v>
      </c>
    </row>
    <row r="909">
      <c r="A909" s="2" t="s">
        <v>3875</v>
      </c>
      <c r="B909" s="2" t="s">
        <v>3876</v>
      </c>
      <c r="C909" s="2" t="s">
        <v>14</v>
      </c>
      <c r="D909" s="2" t="s">
        <v>15</v>
      </c>
      <c r="E909" s="2" t="s">
        <v>23</v>
      </c>
      <c r="F909" s="3">
        <f>+5491136472503</f>
        <v>5491136472503</v>
      </c>
      <c r="G909" s="2" t="s">
        <v>3877</v>
      </c>
      <c r="H909" s="2" t="s">
        <v>25</v>
      </c>
      <c r="I909" s="2" t="s">
        <v>118</v>
      </c>
      <c r="J909" s="2" t="s">
        <v>124</v>
      </c>
      <c r="K909" s="4">
        <v>46127.0</v>
      </c>
      <c r="L909" s="2" t="s">
        <v>3878</v>
      </c>
    </row>
    <row r="910">
      <c r="A910" s="2" t="s">
        <v>3879</v>
      </c>
      <c r="B910" s="2" t="s">
        <v>3880</v>
      </c>
      <c r="C910" s="2" t="s">
        <v>14</v>
      </c>
      <c r="D910" s="2" t="s">
        <v>15</v>
      </c>
      <c r="E910" s="2" t="s">
        <v>23</v>
      </c>
      <c r="F910" s="3">
        <f>+5491121762078</f>
        <v>5491121762078</v>
      </c>
      <c r="G910" s="2" t="s">
        <v>3881</v>
      </c>
      <c r="H910" s="2" t="s">
        <v>32</v>
      </c>
      <c r="I910" s="2" t="s">
        <v>25</v>
      </c>
      <c r="J910" s="2" t="s">
        <v>792</v>
      </c>
      <c r="K910" s="4">
        <v>46127.0</v>
      </c>
      <c r="L910" s="2" t="s">
        <v>3882</v>
      </c>
    </row>
    <row r="911">
      <c r="A911" s="2" t="s">
        <v>3883</v>
      </c>
      <c r="B911" s="2" t="s">
        <v>3884</v>
      </c>
      <c r="C911" s="2" t="s">
        <v>14</v>
      </c>
      <c r="D911" s="2" t="s">
        <v>15</v>
      </c>
      <c r="E911" s="2" t="s">
        <v>23</v>
      </c>
      <c r="F911" s="3">
        <f>+5492612088024</f>
        <v>5492612088024</v>
      </c>
      <c r="G911" s="2" t="s">
        <v>3885</v>
      </c>
      <c r="H911" s="2" t="s">
        <v>71</v>
      </c>
      <c r="I911" s="2" t="s">
        <v>902</v>
      </c>
      <c r="J911" s="2" t="s">
        <v>903</v>
      </c>
      <c r="K911" s="4">
        <v>46127.0</v>
      </c>
      <c r="L911" s="2" t="s">
        <v>3886</v>
      </c>
    </row>
    <row r="912">
      <c r="A912" s="2" t="s">
        <v>3887</v>
      </c>
      <c r="B912" s="2" t="s">
        <v>3888</v>
      </c>
      <c r="C912" s="2" t="s">
        <v>3889</v>
      </c>
      <c r="D912" s="2" t="s">
        <v>15</v>
      </c>
      <c r="E912" s="2" t="s">
        <v>23</v>
      </c>
      <c r="F912" s="3">
        <f>+5491111111111</f>
        <v>5491111111111</v>
      </c>
      <c r="G912" s="2" t="s">
        <v>3890</v>
      </c>
      <c r="H912" s="2" t="s">
        <v>32</v>
      </c>
      <c r="I912" s="2" t="s">
        <v>25</v>
      </c>
      <c r="J912" s="2" t="s">
        <v>846</v>
      </c>
      <c r="K912" s="4">
        <v>46127.0</v>
      </c>
      <c r="L912" s="2" t="s">
        <v>3891</v>
      </c>
    </row>
    <row r="913">
      <c r="A913" s="2" t="s">
        <v>3892</v>
      </c>
      <c r="B913" s="2" t="s">
        <v>3893</v>
      </c>
      <c r="C913" s="2" t="s">
        <v>14</v>
      </c>
      <c r="D913" s="2" t="s">
        <v>15</v>
      </c>
      <c r="E913" s="2" t="s">
        <v>23</v>
      </c>
      <c r="F913" s="3">
        <f>+5492616293129</f>
        <v>5492616293129</v>
      </c>
      <c r="G913" s="2" t="s">
        <v>3894</v>
      </c>
      <c r="H913" s="2" t="s">
        <v>71</v>
      </c>
      <c r="I913" s="2" t="s">
        <v>71</v>
      </c>
      <c r="J913" s="2" t="s">
        <v>3895</v>
      </c>
      <c r="K913" s="4">
        <v>46127.0</v>
      </c>
      <c r="L913" s="2" t="s">
        <v>3896</v>
      </c>
    </row>
    <row r="914">
      <c r="A914" s="2" t="s">
        <v>3897</v>
      </c>
      <c r="B914" s="2" t="s">
        <v>3898</v>
      </c>
      <c r="C914" s="2" t="s">
        <v>14</v>
      </c>
      <c r="D914" s="2" t="s">
        <v>15</v>
      </c>
      <c r="E914" s="2" t="s">
        <v>23</v>
      </c>
      <c r="F914" s="3">
        <f>+5493415625014</f>
        <v>5493415625014</v>
      </c>
      <c r="G914" s="2" t="s">
        <v>3899</v>
      </c>
      <c r="H914" s="2" t="s">
        <v>65</v>
      </c>
      <c r="I914" s="2" t="s">
        <v>66</v>
      </c>
      <c r="J914" s="2" t="s">
        <v>66</v>
      </c>
      <c r="K914" s="4">
        <v>46127.0</v>
      </c>
      <c r="L914" s="2" t="s">
        <v>3900</v>
      </c>
    </row>
    <row r="915">
      <c r="A915" s="2" t="s">
        <v>3901</v>
      </c>
      <c r="B915" s="2" t="s">
        <v>3902</v>
      </c>
      <c r="C915" s="2" t="s">
        <v>14</v>
      </c>
      <c r="D915" s="2" t="s">
        <v>15</v>
      </c>
      <c r="E915" s="2" t="s">
        <v>23</v>
      </c>
      <c r="F915" s="3">
        <f>+5493515926145</f>
        <v>5493515926145</v>
      </c>
      <c r="G915" s="2" t="s">
        <v>3903</v>
      </c>
      <c r="H915" s="2" t="s">
        <v>18</v>
      </c>
      <c r="I915" s="2" t="s">
        <v>18</v>
      </c>
      <c r="J915" s="2" t="s">
        <v>1405</v>
      </c>
      <c r="K915" s="4">
        <v>46127.0</v>
      </c>
      <c r="L915" s="2" t="s">
        <v>3904</v>
      </c>
    </row>
    <row r="916">
      <c r="A916" s="2" t="s">
        <v>3905</v>
      </c>
      <c r="B916" s="2" t="s">
        <v>3906</v>
      </c>
      <c r="C916" s="2" t="s">
        <v>14</v>
      </c>
      <c r="D916" s="2" t="s">
        <v>15</v>
      </c>
      <c r="E916" s="2" t="s">
        <v>23</v>
      </c>
      <c r="F916" s="3">
        <f>+5491125987180</f>
        <v>5491125987180</v>
      </c>
      <c r="G916" s="2" t="s">
        <v>3907</v>
      </c>
      <c r="H916" s="2" t="s">
        <v>25</v>
      </c>
      <c r="I916" s="2" t="s">
        <v>160</v>
      </c>
      <c r="J916" s="2" t="s">
        <v>160</v>
      </c>
      <c r="K916" s="4">
        <v>46127.0</v>
      </c>
      <c r="L916" s="2" t="s">
        <v>3908</v>
      </c>
    </row>
    <row r="917">
      <c r="A917" s="2" t="s">
        <v>3909</v>
      </c>
      <c r="B917" s="2" t="s">
        <v>3910</v>
      </c>
      <c r="C917" s="2" t="s">
        <v>14</v>
      </c>
      <c r="D917" s="2" t="s">
        <v>15</v>
      </c>
      <c r="E917" s="2" t="s">
        <v>16</v>
      </c>
      <c r="F917" s="3">
        <f>+5493517381000</f>
        <v>5493517381000</v>
      </c>
      <c r="G917" s="2" t="s">
        <v>3713</v>
      </c>
      <c r="H917" s="2" t="s">
        <v>18</v>
      </c>
      <c r="I917" s="2" t="s">
        <v>589</v>
      </c>
      <c r="J917" s="2" t="s">
        <v>589</v>
      </c>
      <c r="K917" s="4">
        <v>46127.0</v>
      </c>
      <c r="L917" s="2" t="s">
        <v>3714</v>
      </c>
    </row>
    <row r="918">
      <c r="A918" s="2" t="s">
        <v>3911</v>
      </c>
      <c r="B918" s="2" t="s">
        <v>3912</v>
      </c>
      <c r="C918" s="2" t="s">
        <v>14</v>
      </c>
      <c r="D918" s="2" t="s">
        <v>15</v>
      </c>
      <c r="E918" s="2" t="s">
        <v>23</v>
      </c>
      <c r="F918" s="3">
        <f>+5491136680009</f>
        <v>5491136680009</v>
      </c>
      <c r="G918" s="2" t="s">
        <v>3913</v>
      </c>
      <c r="H918" s="2" t="s">
        <v>25</v>
      </c>
      <c r="I918" s="2" t="s">
        <v>1671</v>
      </c>
      <c r="J918" s="2" t="s">
        <v>1671</v>
      </c>
      <c r="K918" s="4">
        <v>46127.0</v>
      </c>
      <c r="L918" s="2" t="s">
        <v>3914</v>
      </c>
    </row>
    <row r="919">
      <c r="A919" s="2" t="s">
        <v>3915</v>
      </c>
      <c r="B919" s="2" t="s">
        <v>3916</v>
      </c>
      <c r="C919" s="2" t="s">
        <v>14</v>
      </c>
      <c r="D919" s="2" t="s">
        <v>15</v>
      </c>
      <c r="E919" s="2" t="s">
        <v>23</v>
      </c>
      <c r="F919" s="3">
        <f>+5492944587088</f>
        <v>5492944587088</v>
      </c>
      <c r="G919" s="2" t="s">
        <v>3917</v>
      </c>
      <c r="H919" s="2" t="s">
        <v>32</v>
      </c>
      <c r="I919" s="2" t="s">
        <v>25</v>
      </c>
      <c r="J919" s="2" t="s">
        <v>33</v>
      </c>
      <c r="K919" s="4">
        <v>46127.0</v>
      </c>
      <c r="L919" s="2" t="s">
        <v>3918</v>
      </c>
    </row>
    <row r="920">
      <c r="A920" s="2" t="s">
        <v>3919</v>
      </c>
      <c r="B920" s="2" t="s">
        <v>3920</v>
      </c>
      <c r="C920" s="2" t="s">
        <v>14</v>
      </c>
      <c r="D920" s="2" t="s">
        <v>15</v>
      </c>
      <c r="E920" s="2" t="s">
        <v>23</v>
      </c>
      <c r="F920" s="3">
        <f>+5491172369338</f>
        <v>5491172369338</v>
      </c>
      <c r="G920" s="2" t="s">
        <v>3921</v>
      </c>
      <c r="H920" s="2" t="s">
        <v>32</v>
      </c>
      <c r="I920" s="2" t="s">
        <v>25</v>
      </c>
      <c r="J920" s="2" t="s">
        <v>1080</v>
      </c>
      <c r="K920" s="4">
        <v>46127.0</v>
      </c>
      <c r="L920" s="2" t="s">
        <v>3922</v>
      </c>
    </row>
    <row r="921">
      <c r="A921" s="2" t="s">
        <v>3923</v>
      </c>
      <c r="B921" s="2" t="s">
        <v>3924</v>
      </c>
      <c r="C921" s="2" t="s">
        <v>14</v>
      </c>
      <c r="D921" s="2" t="s">
        <v>15</v>
      </c>
      <c r="E921" s="2" t="s">
        <v>23</v>
      </c>
      <c r="F921" s="3">
        <f>+5491173662079</f>
        <v>5491173662079</v>
      </c>
      <c r="G921" s="2" t="s">
        <v>3925</v>
      </c>
      <c r="H921" s="2" t="s">
        <v>25</v>
      </c>
      <c r="I921" s="2" t="s">
        <v>971</v>
      </c>
      <c r="J921" s="2" t="s">
        <v>971</v>
      </c>
      <c r="K921" s="4">
        <v>46127.0</v>
      </c>
      <c r="L921" s="2" t="s">
        <v>3926</v>
      </c>
    </row>
    <row r="922">
      <c r="A922" s="2" t="s">
        <v>3927</v>
      </c>
      <c r="B922" s="2" t="s">
        <v>3928</v>
      </c>
      <c r="C922" s="2" t="s">
        <v>14</v>
      </c>
      <c r="D922" s="2" t="s">
        <v>15</v>
      </c>
      <c r="E922" s="2" t="s">
        <v>23</v>
      </c>
      <c r="F922" s="3">
        <f>+5491131682396</f>
        <v>5491131682396</v>
      </c>
      <c r="G922" s="2" t="s">
        <v>3929</v>
      </c>
      <c r="H922" s="2" t="s">
        <v>25</v>
      </c>
      <c r="I922" s="2" t="s">
        <v>203</v>
      </c>
      <c r="J922" s="2" t="s">
        <v>3930</v>
      </c>
      <c r="K922" s="4">
        <v>46127.0</v>
      </c>
      <c r="L922" s="2" t="s">
        <v>3931</v>
      </c>
    </row>
    <row r="923">
      <c r="A923" s="2" t="s">
        <v>3932</v>
      </c>
      <c r="B923" s="2" t="s">
        <v>3933</v>
      </c>
      <c r="C923" s="2" t="s">
        <v>14</v>
      </c>
      <c r="D923" s="2" t="s">
        <v>15</v>
      </c>
      <c r="E923" s="2" t="s">
        <v>23</v>
      </c>
      <c r="F923" s="3">
        <f>+5491165133582</f>
        <v>5491165133582</v>
      </c>
      <c r="G923" s="2" t="s">
        <v>3934</v>
      </c>
      <c r="H923" s="2" t="s">
        <v>25</v>
      </c>
      <c r="I923" s="2" t="s">
        <v>550</v>
      </c>
      <c r="J923" s="2" t="s">
        <v>550</v>
      </c>
      <c r="K923" s="4">
        <v>46127.0</v>
      </c>
      <c r="L923" s="2" t="s">
        <v>3935</v>
      </c>
    </row>
    <row r="924">
      <c r="A924" s="2" t="s">
        <v>3936</v>
      </c>
      <c r="B924" s="2" t="s">
        <v>3937</v>
      </c>
      <c r="C924" s="2" t="s">
        <v>14</v>
      </c>
      <c r="D924" s="2" t="s">
        <v>15</v>
      </c>
      <c r="E924" s="2" t="s">
        <v>23</v>
      </c>
      <c r="F924" s="3">
        <f>+5491159623939</f>
        <v>5491159623939</v>
      </c>
      <c r="G924" s="2" t="s">
        <v>3938</v>
      </c>
      <c r="H924" s="2" t="s">
        <v>32</v>
      </c>
      <c r="I924" s="2" t="s">
        <v>25</v>
      </c>
      <c r="J924" s="2" t="s">
        <v>33</v>
      </c>
      <c r="K924" s="4">
        <v>46127.0</v>
      </c>
      <c r="L924" s="2" t="s">
        <v>3939</v>
      </c>
    </row>
    <row r="925">
      <c r="A925" s="2" t="s">
        <v>3940</v>
      </c>
      <c r="B925" s="2" t="s">
        <v>3941</v>
      </c>
      <c r="C925" s="2" t="s">
        <v>14</v>
      </c>
      <c r="D925" s="2" t="s">
        <v>15</v>
      </c>
      <c r="E925" s="2" t="s">
        <v>23</v>
      </c>
      <c r="F925" s="3">
        <f>+541131677237</f>
        <v>541131677237</v>
      </c>
      <c r="G925" s="2" t="s">
        <v>3942</v>
      </c>
      <c r="H925" s="2" t="s">
        <v>25</v>
      </c>
      <c r="I925" s="2" t="s">
        <v>97</v>
      </c>
      <c r="J925" s="2" t="s">
        <v>98</v>
      </c>
      <c r="K925" s="4">
        <v>46127.0</v>
      </c>
      <c r="L925" s="2" t="s">
        <v>3943</v>
      </c>
    </row>
    <row r="926">
      <c r="A926" s="2" t="s">
        <v>3944</v>
      </c>
      <c r="B926" s="2" t="s">
        <v>3945</v>
      </c>
      <c r="C926" s="2" t="s">
        <v>14</v>
      </c>
      <c r="D926" s="2" t="s">
        <v>15</v>
      </c>
      <c r="E926" s="2" t="s">
        <v>16</v>
      </c>
      <c r="F926" s="3">
        <f>+5493516576451</f>
        <v>5493516576451</v>
      </c>
      <c r="G926" s="2" t="s">
        <v>3946</v>
      </c>
      <c r="H926" s="2" t="s">
        <v>18</v>
      </c>
      <c r="I926" s="2" t="s">
        <v>18</v>
      </c>
      <c r="J926" s="2" t="s">
        <v>219</v>
      </c>
      <c r="K926" s="4">
        <v>46127.0</v>
      </c>
      <c r="L926" s="2" t="s">
        <v>3947</v>
      </c>
    </row>
    <row r="927">
      <c r="A927" s="2" t="s">
        <v>3948</v>
      </c>
      <c r="B927" s="2" t="s">
        <v>3949</v>
      </c>
      <c r="C927" s="2" t="s">
        <v>14</v>
      </c>
      <c r="D927" s="2" t="s">
        <v>15</v>
      </c>
      <c r="E927" s="2" t="s">
        <v>23</v>
      </c>
      <c r="F927" s="3">
        <f>+54903515306933</f>
        <v>54903515306933</v>
      </c>
      <c r="G927" s="2" t="s">
        <v>3950</v>
      </c>
      <c r="H927" s="2" t="s">
        <v>18</v>
      </c>
      <c r="I927" s="2" t="s">
        <v>18</v>
      </c>
      <c r="J927" s="2" t="s">
        <v>778</v>
      </c>
      <c r="K927" s="4">
        <v>46127.0</v>
      </c>
      <c r="L927" s="2" t="s">
        <v>3951</v>
      </c>
    </row>
    <row r="928">
      <c r="A928" s="2" t="s">
        <v>3952</v>
      </c>
      <c r="B928" s="2" t="s">
        <v>3953</v>
      </c>
      <c r="C928" s="2" t="s">
        <v>14</v>
      </c>
      <c r="D928" s="2" t="s">
        <v>15</v>
      </c>
      <c r="E928" s="2" t="s">
        <v>23</v>
      </c>
      <c r="F928" s="3">
        <f>+5491164545116</f>
        <v>5491164545116</v>
      </c>
      <c r="G928" s="2" t="s">
        <v>3954</v>
      </c>
      <c r="H928" s="2" t="s">
        <v>32</v>
      </c>
      <c r="I928" s="2" t="s">
        <v>25</v>
      </c>
      <c r="J928" s="2" t="s">
        <v>594</v>
      </c>
      <c r="K928" s="4">
        <v>46127.0</v>
      </c>
      <c r="L928" s="2" t="s">
        <v>3955</v>
      </c>
    </row>
    <row r="929">
      <c r="A929" s="2" t="s">
        <v>3956</v>
      </c>
      <c r="B929" s="2" t="s">
        <v>3957</v>
      </c>
      <c r="C929" s="2" t="s">
        <v>185</v>
      </c>
      <c r="D929" s="2" t="s">
        <v>15</v>
      </c>
      <c r="E929" s="2" t="s">
        <v>16</v>
      </c>
      <c r="F929" s="3">
        <f>+5491150107487</f>
        <v>5491150107487</v>
      </c>
      <c r="G929" s="2" t="s">
        <v>3958</v>
      </c>
      <c r="H929" s="2" t="s">
        <v>18</v>
      </c>
      <c r="I929" s="2" t="s">
        <v>18</v>
      </c>
      <c r="J929" s="2" t="s">
        <v>3959</v>
      </c>
      <c r="K929" s="4">
        <v>46127.0</v>
      </c>
      <c r="L929" s="2" t="s">
        <v>3960</v>
      </c>
    </row>
    <row r="930">
      <c r="A930" s="2" t="s">
        <v>3961</v>
      </c>
      <c r="B930" s="2" t="s">
        <v>3962</v>
      </c>
      <c r="C930" s="2" t="s">
        <v>14</v>
      </c>
      <c r="D930" s="2" t="s">
        <v>15</v>
      </c>
      <c r="E930" s="2" t="s">
        <v>23</v>
      </c>
      <c r="F930" s="3">
        <f>+541161126661</f>
        <v>541161126661</v>
      </c>
      <c r="G930" s="2" t="s">
        <v>3963</v>
      </c>
      <c r="H930" s="2" t="s">
        <v>32</v>
      </c>
      <c r="I930" s="2" t="s">
        <v>25</v>
      </c>
      <c r="J930" s="2" t="s">
        <v>143</v>
      </c>
      <c r="K930" s="4">
        <v>46127.0</v>
      </c>
      <c r="L930" s="2" t="s">
        <v>3964</v>
      </c>
    </row>
    <row r="931">
      <c r="A931" s="2" t="s">
        <v>3965</v>
      </c>
      <c r="B931" s="2" t="s">
        <v>3966</v>
      </c>
      <c r="C931" s="2" t="s">
        <v>14</v>
      </c>
      <c r="D931" s="2" t="s">
        <v>15</v>
      </c>
      <c r="E931" s="2" t="s">
        <v>23</v>
      </c>
      <c r="F931" s="3">
        <f>+5491175357494</f>
        <v>5491175357494</v>
      </c>
      <c r="G931" s="2" t="s">
        <v>3967</v>
      </c>
      <c r="H931" s="2" t="s">
        <v>32</v>
      </c>
      <c r="I931" s="2" t="s">
        <v>25</v>
      </c>
      <c r="J931" s="2" t="s">
        <v>702</v>
      </c>
      <c r="K931" s="4">
        <v>46127.0</v>
      </c>
      <c r="L931" s="2" t="s">
        <v>3968</v>
      </c>
    </row>
    <row r="932">
      <c r="A932" s="2" t="s">
        <v>3969</v>
      </c>
      <c r="B932" s="2" t="s">
        <v>3970</v>
      </c>
      <c r="C932" s="2" t="s">
        <v>14</v>
      </c>
      <c r="D932" s="2" t="s">
        <v>15</v>
      </c>
      <c r="E932" s="2" t="s">
        <v>23</v>
      </c>
      <c r="F932" s="3">
        <f>+5493816690507</f>
        <v>5493816690507</v>
      </c>
      <c r="G932" s="2" t="s">
        <v>3971</v>
      </c>
      <c r="H932" s="2" t="s">
        <v>55</v>
      </c>
      <c r="I932" s="2" t="s">
        <v>56</v>
      </c>
      <c r="J932" s="2" t="s">
        <v>56</v>
      </c>
      <c r="K932" s="4">
        <v>46126.0</v>
      </c>
      <c r="L932" s="2" t="s">
        <v>3972</v>
      </c>
    </row>
    <row r="933">
      <c r="A933" s="2" t="s">
        <v>3973</v>
      </c>
      <c r="B933" s="2" t="s">
        <v>3974</v>
      </c>
      <c r="C933" s="2" t="s">
        <v>14</v>
      </c>
      <c r="D933" s="2" t="s">
        <v>15</v>
      </c>
      <c r="E933" s="2" t="s">
        <v>23</v>
      </c>
      <c r="F933" s="3">
        <f>+5491158522075</f>
        <v>5491158522075</v>
      </c>
      <c r="G933" s="2" t="s">
        <v>3975</v>
      </c>
      <c r="H933" s="2" t="s">
        <v>25</v>
      </c>
      <c r="I933" s="2" t="s">
        <v>1349</v>
      </c>
      <c r="J933" s="2" t="s">
        <v>1349</v>
      </c>
      <c r="K933" s="4">
        <v>46126.0</v>
      </c>
      <c r="L933" s="2" t="s">
        <v>3976</v>
      </c>
    </row>
    <row r="934">
      <c r="A934" s="2" t="s">
        <v>3977</v>
      </c>
      <c r="B934" s="2" t="s">
        <v>3978</v>
      </c>
      <c r="C934" s="2" t="s">
        <v>14</v>
      </c>
      <c r="D934" s="2" t="s">
        <v>15</v>
      </c>
      <c r="E934" s="2" t="s">
        <v>23</v>
      </c>
      <c r="F934" s="3">
        <f>+5491176599173</f>
        <v>5491176599173</v>
      </c>
      <c r="G934" s="2" t="s">
        <v>3979</v>
      </c>
      <c r="H934" s="2" t="s">
        <v>32</v>
      </c>
      <c r="I934" s="2" t="s">
        <v>25</v>
      </c>
      <c r="J934" s="2" t="s">
        <v>3250</v>
      </c>
      <c r="K934" s="4">
        <v>46126.0</v>
      </c>
      <c r="L934" s="2" t="s">
        <v>3980</v>
      </c>
    </row>
    <row r="935">
      <c r="A935" s="2" t="s">
        <v>3981</v>
      </c>
      <c r="B935" s="2" t="s">
        <v>3982</v>
      </c>
      <c r="C935" s="2" t="s">
        <v>14</v>
      </c>
      <c r="D935" s="2" t="s">
        <v>15</v>
      </c>
      <c r="E935" s="2" t="s">
        <v>16</v>
      </c>
      <c r="F935" s="3">
        <f>+5491111111111</f>
        <v>5491111111111</v>
      </c>
      <c r="G935" s="2" t="s">
        <v>3983</v>
      </c>
      <c r="H935" s="2" t="s">
        <v>71</v>
      </c>
      <c r="I935" s="2" t="s">
        <v>71</v>
      </c>
      <c r="J935" s="2" t="s">
        <v>1598</v>
      </c>
      <c r="K935" s="4">
        <v>46126.0</v>
      </c>
      <c r="L935" s="2" t="s">
        <v>3984</v>
      </c>
    </row>
    <row r="936">
      <c r="A936" s="2" t="s">
        <v>3985</v>
      </c>
      <c r="B936" s="2" t="s">
        <v>3986</v>
      </c>
      <c r="C936" s="2" t="s">
        <v>14</v>
      </c>
      <c r="D936" s="2" t="s">
        <v>15</v>
      </c>
      <c r="E936" s="2" t="s">
        <v>16</v>
      </c>
      <c r="F936" s="2">
        <v>5.491128775769E12</v>
      </c>
      <c r="G936" s="2" t="s">
        <v>3987</v>
      </c>
      <c r="H936" s="2" t="s">
        <v>32</v>
      </c>
      <c r="I936" s="2" t="s">
        <v>25</v>
      </c>
      <c r="J936" s="2" t="s">
        <v>33</v>
      </c>
      <c r="K936" s="4">
        <v>46126.0</v>
      </c>
      <c r="L936" s="2" t="s">
        <v>3988</v>
      </c>
    </row>
    <row r="937">
      <c r="A937" s="2" t="s">
        <v>3989</v>
      </c>
      <c r="B937" s="2" t="s">
        <v>3990</v>
      </c>
      <c r="C937" s="2" t="s">
        <v>14</v>
      </c>
      <c r="D937" s="2" t="s">
        <v>15</v>
      </c>
      <c r="E937" s="2" t="s">
        <v>23</v>
      </c>
      <c r="F937" s="3">
        <f>+5491162063382</f>
        <v>5491162063382</v>
      </c>
      <c r="G937" s="2" t="s">
        <v>3991</v>
      </c>
      <c r="H937" s="2" t="s">
        <v>25</v>
      </c>
      <c r="I937" s="2" t="s">
        <v>764</v>
      </c>
      <c r="J937" s="2" t="s">
        <v>764</v>
      </c>
      <c r="K937" s="4">
        <v>46126.0</v>
      </c>
      <c r="L937" s="2" t="s">
        <v>3992</v>
      </c>
    </row>
    <row r="938">
      <c r="A938" s="2" t="s">
        <v>3993</v>
      </c>
      <c r="B938" s="2" t="s">
        <v>3994</v>
      </c>
      <c r="C938" s="2" t="s">
        <v>14</v>
      </c>
      <c r="D938" s="2" t="s">
        <v>15</v>
      </c>
      <c r="E938" s="2" t="s">
        <v>16</v>
      </c>
      <c r="F938" s="3">
        <f>+5493518535535</f>
        <v>5493518535535</v>
      </c>
      <c r="G938" s="2" t="s">
        <v>3995</v>
      </c>
      <c r="H938" s="2" t="s">
        <v>18</v>
      </c>
      <c r="I938" s="2" t="s">
        <v>18</v>
      </c>
      <c r="J938" s="2" t="s">
        <v>3996</v>
      </c>
      <c r="K938" s="4">
        <v>46126.0</v>
      </c>
      <c r="L938" s="2" t="s">
        <v>3997</v>
      </c>
    </row>
    <row r="939">
      <c r="A939" s="2" t="s">
        <v>3998</v>
      </c>
      <c r="B939" s="2" t="s">
        <v>3999</v>
      </c>
      <c r="C939" s="2" t="s">
        <v>14</v>
      </c>
      <c r="D939" s="2" t="s">
        <v>15</v>
      </c>
      <c r="E939" s="2" t="s">
        <v>23</v>
      </c>
      <c r="F939" s="3">
        <f>+5491134122704</f>
        <v>5491134122704</v>
      </c>
      <c r="G939" s="2" t="s">
        <v>4000</v>
      </c>
      <c r="H939" s="2" t="s">
        <v>25</v>
      </c>
      <c r="I939" s="2" t="s">
        <v>160</v>
      </c>
      <c r="J939" s="2" t="s">
        <v>160</v>
      </c>
      <c r="K939" s="4">
        <v>46126.0</v>
      </c>
      <c r="L939" s="2" t="s">
        <v>4001</v>
      </c>
    </row>
    <row r="940">
      <c r="A940" s="2" t="s">
        <v>4002</v>
      </c>
      <c r="B940" s="2" t="s">
        <v>4003</v>
      </c>
      <c r="C940" s="2" t="s">
        <v>14</v>
      </c>
      <c r="D940" s="2" t="s">
        <v>15</v>
      </c>
      <c r="E940" s="2" t="s">
        <v>23</v>
      </c>
      <c r="F940" s="3">
        <f>+5491165104826</f>
        <v>5491165104826</v>
      </c>
      <c r="G940" s="2" t="s">
        <v>4004</v>
      </c>
      <c r="H940" s="2" t="s">
        <v>25</v>
      </c>
      <c r="I940" s="2" t="s">
        <v>26</v>
      </c>
      <c r="J940" s="2" t="s">
        <v>2215</v>
      </c>
      <c r="K940" s="4">
        <v>46126.0</v>
      </c>
      <c r="L940" s="2" t="s">
        <v>4005</v>
      </c>
    </row>
    <row r="941">
      <c r="A941" s="2" t="s">
        <v>4006</v>
      </c>
      <c r="B941" s="2" t="s">
        <v>4007</v>
      </c>
      <c r="C941" s="2" t="s">
        <v>14</v>
      </c>
      <c r="D941" s="2" t="s">
        <v>15</v>
      </c>
      <c r="E941" s="2" t="s">
        <v>23</v>
      </c>
      <c r="F941" s="3">
        <f>+5492212012302</f>
        <v>5492212012302</v>
      </c>
      <c r="G941" s="2" t="s">
        <v>4008</v>
      </c>
      <c r="H941" s="2" t="s">
        <v>25</v>
      </c>
      <c r="I941" s="2" t="s">
        <v>44</v>
      </c>
      <c r="J941" s="2" t="s">
        <v>44</v>
      </c>
      <c r="K941" s="4">
        <v>46126.0</v>
      </c>
      <c r="L941" s="2" t="s">
        <v>4009</v>
      </c>
    </row>
    <row r="942">
      <c r="A942" s="2" t="s">
        <v>4010</v>
      </c>
      <c r="B942" s="2" t="s">
        <v>4011</v>
      </c>
      <c r="C942" s="2" t="s">
        <v>14</v>
      </c>
      <c r="D942" s="2" t="s">
        <v>15</v>
      </c>
      <c r="E942" s="2" t="s">
        <v>23</v>
      </c>
      <c r="F942" s="3">
        <f>+5492214766655</f>
        <v>5492214766655</v>
      </c>
      <c r="G942" s="2" t="s">
        <v>4012</v>
      </c>
      <c r="H942" s="2" t="s">
        <v>25</v>
      </c>
      <c r="I942" s="2" t="s">
        <v>44</v>
      </c>
      <c r="J942" s="2" t="s">
        <v>468</v>
      </c>
      <c r="K942" s="4">
        <v>46126.0</v>
      </c>
      <c r="L942" s="2" t="s">
        <v>4013</v>
      </c>
    </row>
    <row r="943">
      <c r="A943" s="2" t="s">
        <v>4014</v>
      </c>
      <c r="B943" s="2" t="s">
        <v>4015</v>
      </c>
      <c r="C943" s="2" t="s">
        <v>14</v>
      </c>
      <c r="D943" s="2" t="s">
        <v>15</v>
      </c>
      <c r="E943" s="2" t="s">
        <v>23</v>
      </c>
      <c r="F943" s="3">
        <f>+5491136492491</f>
        <v>5491136492491</v>
      </c>
      <c r="G943" s="2" t="s">
        <v>4016</v>
      </c>
      <c r="H943" s="2" t="s">
        <v>25</v>
      </c>
      <c r="I943" s="2" t="s">
        <v>481</v>
      </c>
      <c r="J943" s="2" t="s">
        <v>481</v>
      </c>
      <c r="K943" s="4">
        <v>46126.0</v>
      </c>
      <c r="L943" s="2" t="s">
        <v>4017</v>
      </c>
    </row>
    <row r="944">
      <c r="A944" s="2" t="s">
        <v>4018</v>
      </c>
      <c r="B944" s="2" t="s">
        <v>4019</v>
      </c>
      <c r="C944" s="2" t="s">
        <v>14</v>
      </c>
      <c r="D944" s="2" t="s">
        <v>15</v>
      </c>
      <c r="E944" s="2" t="s">
        <v>23</v>
      </c>
      <c r="F944" s="3">
        <f>+5493541396441</f>
        <v>5493541396441</v>
      </c>
      <c r="G944" s="2" t="s">
        <v>4020</v>
      </c>
      <c r="H944" s="2" t="s">
        <v>18</v>
      </c>
      <c r="I944" s="2" t="s">
        <v>18</v>
      </c>
      <c r="J944" s="2" t="s">
        <v>712</v>
      </c>
      <c r="K944" s="4">
        <v>46126.0</v>
      </c>
      <c r="L944" s="2" t="s">
        <v>4021</v>
      </c>
    </row>
    <row r="945">
      <c r="A945" s="2" t="s">
        <v>4022</v>
      </c>
      <c r="B945" s="2" t="s">
        <v>4023</v>
      </c>
      <c r="C945" s="2" t="s">
        <v>14</v>
      </c>
      <c r="D945" s="2" t="s">
        <v>15</v>
      </c>
      <c r="E945" s="2" t="s">
        <v>23</v>
      </c>
      <c r="F945" s="3">
        <f>+5491123020279</f>
        <v>5491123020279</v>
      </c>
      <c r="G945" s="2" t="s">
        <v>4024</v>
      </c>
      <c r="H945" s="2" t="s">
        <v>25</v>
      </c>
      <c r="I945" s="2" t="s">
        <v>314</v>
      </c>
      <c r="J945" s="2" t="s">
        <v>912</v>
      </c>
      <c r="K945" s="4">
        <v>46126.0</v>
      </c>
      <c r="L945" s="2" t="s">
        <v>4025</v>
      </c>
    </row>
    <row r="946">
      <c r="A946" s="2" t="s">
        <v>4026</v>
      </c>
      <c r="B946" s="2" t="s">
        <v>4027</v>
      </c>
      <c r="C946" s="2" t="s">
        <v>14</v>
      </c>
      <c r="D946" s="2" t="s">
        <v>15</v>
      </c>
      <c r="E946" s="2" t="s">
        <v>23</v>
      </c>
      <c r="F946" s="3">
        <f>+5491131001504</f>
        <v>5491131001504</v>
      </c>
      <c r="G946" s="2" t="s">
        <v>4028</v>
      </c>
      <c r="H946" s="2" t="s">
        <v>25</v>
      </c>
      <c r="I946" s="2" t="s">
        <v>357</v>
      </c>
      <c r="J946" s="2" t="s">
        <v>4029</v>
      </c>
      <c r="K946" s="4">
        <v>46126.0</v>
      </c>
      <c r="L946" s="2" t="s">
        <v>4030</v>
      </c>
    </row>
    <row r="947">
      <c r="A947" s="2" t="s">
        <v>4031</v>
      </c>
      <c r="B947" s="2" t="s">
        <v>4032</v>
      </c>
      <c r="C947" s="2" t="s">
        <v>14</v>
      </c>
      <c r="D947" s="2" t="s">
        <v>15</v>
      </c>
      <c r="E947" s="2" t="s">
        <v>16</v>
      </c>
      <c r="F947" s="3">
        <f>+5493515216900</f>
        <v>5493515216900</v>
      </c>
      <c r="G947" s="2" t="s">
        <v>4033</v>
      </c>
      <c r="H947" s="2" t="s">
        <v>18</v>
      </c>
      <c r="I947" s="2" t="s">
        <v>18</v>
      </c>
      <c r="J947" s="2" t="s">
        <v>2260</v>
      </c>
      <c r="K947" s="4">
        <v>46126.0</v>
      </c>
      <c r="L947" s="2" t="s">
        <v>4034</v>
      </c>
    </row>
    <row r="948">
      <c r="A948" s="2" t="s">
        <v>4035</v>
      </c>
      <c r="B948" s="2" t="s">
        <v>4036</v>
      </c>
      <c r="C948" s="2" t="s">
        <v>14</v>
      </c>
      <c r="D948" s="2" t="s">
        <v>15</v>
      </c>
      <c r="E948" s="2" t="s">
        <v>23</v>
      </c>
      <c r="F948" s="3">
        <f>+5492645151121</f>
        <v>5492645151121</v>
      </c>
      <c r="G948" s="2" t="s">
        <v>4037</v>
      </c>
      <c r="H948" s="2" t="s">
        <v>18</v>
      </c>
      <c r="I948" s="2" t="s">
        <v>18</v>
      </c>
      <c r="J948" s="2" t="s">
        <v>3996</v>
      </c>
      <c r="K948" s="4">
        <v>46126.0</v>
      </c>
      <c r="L948" s="2" t="s">
        <v>4038</v>
      </c>
    </row>
    <row r="949">
      <c r="A949" s="2" t="s">
        <v>4039</v>
      </c>
      <c r="B949" s="2" t="s">
        <v>4040</v>
      </c>
      <c r="C949" s="2" t="s">
        <v>14</v>
      </c>
      <c r="D949" s="2" t="s">
        <v>15</v>
      </c>
      <c r="E949" s="2" t="s">
        <v>23</v>
      </c>
      <c r="F949" s="3">
        <f>+5491161386446</f>
        <v>5491161386446</v>
      </c>
      <c r="G949" s="2" t="s">
        <v>4041</v>
      </c>
      <c r="H949" s="2" t="s">
        <v>32</v>
      </c>
      <c r="I949" s="2" t="s">
        <v>25</v>
      </c>
      <c r="J949" s="2" t="s">
        <v>926</v>
      </c>
      <c r="K949" s="4">
        <v>46126.0</v>
      </c>
      <c r="L949" s="2" t="s">
        <v>4042</v>
      </c>
    </row>
    <row r="950">
      <c r="A950" s="2" t="s">
        <v>4043</v>
      </c>
      <c r="B950" s="2" t="s">
        <v>4044</v>
      </c>
      <c r="C950" s="2" t="s">
        <v>14</v>
      </c>
      <c r="D950" s="2" t="s">
        <v>15</v>
      </c>
      <c r="E950" s="2" t="s">
        <v>16</v>
      </c>
      <c r="F950" s="3">
        <f>+5492236846755</f>
        <v>5492236846755</v>
      </c>
      <c r="G950" s="2" t="s">
        <v>4045</v>
      </c>
      <c r="H950" s="2" t="s">
        <v>25</v>
      </c>
      <c r="I950" s="2" t="s">
        <v>649</v>
      </c>
      <c r="J950" s="2" t="s">
        <v>2803</v>
      </c>
      <c r="K950" s="4">
        <v>46126.0</v>
      </c>
      <c r="L950" s="2" t="s">
        <v>4046</v>
      </c>
    </row>
    <row r="951">
      <c r="A951" s="2" t="s">
        <v>4047</v>
      </c>
      <c r="B951" s="2" t="s">
        <v>4048</v>
      </c>
      <c r="C951" s="2" t="s">
        <v>14</v>
      </c>
      <c r="D951" s="2" t="s">
        <v>15</v>
      </c>
      <c r="E951" s="2" t="s">
        <v>23</v>
      </c>
      <c r="F951" s="3">
        <f>+5492615746550</f>
        <v>5492615746550</v>
      </c>
      <c r="G951" s="2" t="s">
        <v>4049</v>
      </c>
      <c r="H951" s="2" t="s">
        <v>71</v>
      </c>
      <c r="I951" s="2" t="s">
        <v>902</v>
      </c>
      <c r="J951" s="2" t="s">
        <v>903</v>
      </c>
      <c r="K951" s="4">
        <v>46126.0</v>
      </c>
      <c r="L951" s="2" t="s">
        <v>4050</v>
      </c>
    </row>
    <row r="952">
      <c r="A952" s="2" t="s">
        <v>4051</v>
      </c>
      <c r="B952" s="2" t="s">
        <v>4052</v>
      </c>
      <c r="C952" s="2" t="s">
        <v>14</v>
      </c>
      <c r="D952" s="2" t="s">
        <v>15</v>
      </c>
      <c r="E952" s="2" t="s">
        <v>16</v>
      </c>
      <c r="F952" s="3">
        <f>+5491136848627</f>
        <v>5491136848627</v>
      </c>
      <c r="G952" s="2" t="s">
        <v>4053</v>
      </c>
      <c r="H952" s="2" t="s">
        <v>32</v>
      </c>
      <c r="I952" s="2" t="s">
        <v>25</v>
      </c>
      <c r="J952" s="2" t="s">
        <v>759</v>
      </c>
      <c r="K952" s="4">
        <v>46126.0</v>
      </c>
      <c r="L952" s="2" t="s">
        <v>2645</v>
      </c>
    </row>
    <row r="953">
      <c r="A953" s="2" t="s">
        <v>4054</v>
      </c>
      <c r="B953" s="2" t="s">
        <v>4055</v>
      </c>
      <c r="C953" s="2" t="s">
        <v>14</v>
      </c>
      <c r="D953" s="2" t="s">
        <v>15</v>
      </c>
      <c r="E953" s="2" t="s">
        <v>23</v>
      </c>
      <c r="F953" s="3">
        <f>+5492616153275</f>
        <v>5492616153275</v>
      </c>
      <c r="G953" s="2" t="s">
        <v>4056</v>
      </c>
      <c r="H953" s="2" t="s">
        <v>71</v>
      </c>
      <c r="I953" s="2" t="s">
        <v>1625</v>
      </c>
      <c r="J953" s="2" t="s">
        <v>3845</v>
      </c>
      <c r="K953" s="4">
        <v>46126.0</v>
      </c>
      <c r="L953" s="2" t="s">
        <v>4057</v>
      </c>
    </row>
    <row r="954">
      <c r="A954" s="2" t="s">
        <v>4058</v>
      </c>
      <c r="B954" s="2" t="s">
        <v>4059</v>
      </c>
      <c r="C954" s="2" t="s">
        <v>14</v>
      </c>
      <c r="D954" s="2" t="s">
        <v>15</v>
      </c>
      <c r="E954" s="2" t="s">
        <v>23</v>
      </c>
      <c r="F954" s="3">
        <f>+5491178561986</f>
        <v>5491178561986</v>
      </c>
      <c r="G954" s="2" t="s">
        <v>4060</v>
      </c>
      <c r="H954" s="2" t="s">
        <v>32</v>
      </c>
      <c r="I954" s="2" t="s">
        <v>25</v>
      </c>
      <c r="J954" s="2" t="s">
        <v>594</v>
      </c>
      <c r="K954" s="4">
        <v>46126.0</v>
      </c>
      <c r="L954" s="2" t="s">
        <v>4061</v>
      </c>
    </row>
    <row r="955">
      <c r="A955" s="2" t="s">
        <v>4062</v>
      </c>
      <c r="B955" s="2" t="s">
        <v>4063</v>
      </c>
      <c r="C955" s="2" t="s">
        <v>14</v>
      </c>
      <c r="D955" s="2" t="s">
        <v>15</v>
      </c>
      <c r="E955" s="2" t="s">
        <v>23</v>
      </c>
      <c r="F955" s="3">
        <f>+5491173667074</f>
        <v>5491173667074</v>
      </c>
      <c r="G955" s="2" t="s">
        <v>4064</v>
      </c>
      <c r="H955" s="2" t="s">
        <v>32</v>
      </c>
      <c r="I955" s="2" t="s">
        <v>25</v>
      </c>
      <c r="J955" s="2" t="s">
        <v>792</v>
      </c>
      <c r="K955" s="4">
        <v>46126.0</v>
      </c>
      <c r="L955" s="2" t="s">
        <v>4065</v>
      </c>
    </row>
    <row r="956">
      <c r="A956" s="2" t="s">
        <v>4066</v>
      </c>
      <c r="B956" s="2" t="s">
        <v>4067</v>
      </c>
      <c r="C956" s="2" t="s">
        <v>14</v>
      </c>
      <c r="D956" s="2" t="s">
        <v>15</v>
      </c>
      <c r="E956" s="2" t="s">
        <v>23</v>
      </c>
      <c r="F956" s="3">
        <f>+5491130471523</f>
        <v>5491130471523</v>
      </c>
      <c r="G956" s="2" t="s">
        <v>4068</v>
      </c>
      <c r="H956" s="2" t="s">
        <v>25</v>
      </c>
      <c r="I956" s="2" t="s">
        <v>246</v>
      </c>
      <c r="J956" s="2" t="s">
        <v>299</v>
      </c>
      <c r="K956" s="4">
        <v>46126.0</v>
      </c>
      <c r="L956" s="2" t="s">
        <v>4069</v>
      </c>
    </row>
    <row r="957">
      <c r="A957" s="2" t="s">
        <v>4070</v>
      </c>
      <c r="B957" s="2" t="s">
        <v>4071</v>
      </c>
      <c r="C957" s="2" t="s">
        <v>14</v>
      </c>
      <c r="D957" s="2" t="s">
        <v>15</v>
      </c>
      <c r="E957" s="2" t="s">
        <v>23</v>
      </c>
      <c r="F957" s="3">
        <f>+5491136924046</f>
        <v>5491136924046</v>
      </c>
      <c r="G957" s="2" t="s">
        <v>4072</v>
      </c>
      <c r="H957" s="2" t="s">
        <v>25</v>
      </c>
      <c r="I957" s="2" t="s">
        <v>236</v>
      </c>
      <c r="J957" s="2" t="s">
        <v>2099</v>
      </c>
      <c r="K957" s="4">
        <v>46126.0</v>
      </c>
      <c r="L957" s="2" t="s">
        <v>4073</v>
      </c>
    </row>
    <row r="958">
      <c r="A958" s="2" t="s">
        <v>4074</v>
      </c>
      <c r="B958" s="2" t="s">
        <v>4075</v>
      </c>
      <c r="C958" s="2" t="s">
        <v>1150</v>
      </c>
      <c r="D958" s="2" t="s">
        <v>15</v>
      </c>
      <c r="E958" s="2" t="s">
        <v>23</v>
      </c>
      <c r="F958" s="3">
        <f>+5492615754118</f>
        <v>5492615754118</v>
      </c>
      <c r="G958" s="2" t="s">
        <v>4076</v>
      </c>
      <c r="H958" s="2" t="s">
        <v>71</v>
      </c>
      <c r="I958" s="2" t="s">
        <v>71</v>
      </c>
      <c r="J958" s="2" t="s">
        <v>1598</v>
      </c>
      <c r="K958" s="4">
        <v>46126.0</v>
      </c>
      <c r="L958" s="2" t="s">
        <v>4077</v>
      </c>
    </row>
    <row r="959">
      <c r="A959" s="2" t="s">
        <v>4078</v>
      </c>
      <c r="B959" s="2" t="s">
        <v>4079</v>
      </c>
      <c r="C959" s="2" t="s">
        <v>14</v>
      </c>
      <c r="D959" s="2" t="s">
        <v>15</v>
      </c>
      <c r="E959" s="2" t="s">
        <v>23</v>
      </c>
      <c r="F959" s="3">
        <f>+5491162664558</f>
        <v>5491162664558</v>
      </c>
      <c r="G959" s="2" t="s">
        <v>4080</v>
      </c>
      <c r="H959" s="2" t="s">
        <v>25</v>
      </c>
      <c r="I959" s="2" t="s">
        <v>309</v>
      </c>
      <c r="J959" s="2" t="s">
        <v>309</v>
      </c>
      <c r="K959" s="4">
        <v>46126.0</v>
      </c>
      <c r="L959" s="2" t="s">
        <v>4081</v>
      </c>
    </row>
    <row r="960">
      <c r="A960" s="2" t="s">
        <v>4082</v>
      </c>
      <c r="B960" s="2" t="s">
        <v>4083</v>
      </c>
      <c r="C960" s="2" t="s">
        <v>14</v>
      </c>
      <c r="D960" s="2" t="s">
        <v>15</v>
      </c>
      <c r="E960" s="2" t="s">
        <v>23</v>
      </c>
      <c r="F960" s="3">
        <f>+5492915068732</f>
        <v>5492915068732</v>
      </c>
      <c r="G960" s="2" t="s">
        <v>4084</v>
      </c>
      <c r="H960" s="2" t="s">
        <v>25</v>
      </c>
      <c r="I960" s="2" t="s">
        <v>841</v>
      </c>
      <c r="J960" s="2" t="s">
        <v>4085</v>
      </c>
      <c r="K960" s="4">
        <v>46126.0</v>
      </c>
      <c r="L960" s="2" t="s">
        <v>4086</v>
      </c>
    </row>
    <row r="961">
      <c r="A961" s="2" t="s">
        <v>4087</v>
      </c>
      <c r="B961" s="2" t="s">
        <v>4088</v>
      </c>
      <c r="C961" s="2" t="s">
        <v>14</v>
      </c>
      <c r="D961" s="2" t="s">
        <v>15</v>
      </c>
      <c r="E961" s="2" t="s">
        <v>23</v>
      </c>
      <c r="F961" s="3">
        <f>+5493516601595</f>
        <v>5493516601595</v>
      </c>
      <c r="G961" s="2" t="s">
        <v>4089</v>
      </c>
      <c r="H961" s="2" t="s">
        <v>18</v>
      </c>
      <c r="I961" s="2" t="s">
        <v>18</v>
      </c>
      <c r="J961" s="2" t="s">
        <v>1911</v>
      </c>
      <c r="K961" s="4">
        <v>46126.0</v>
      </c>
      <c r="L961" s="2" t="s">
        <v>4090</v>
      </c>
    </row>
    <row r="962">
      <c r="A962" s="2" t="s">
        <v>4091</v>
      </c>
      <c r="B962" s="2" t="s">
        <v>4092</v>
      </c>
      <c r="C962" s="2" t="s">
        <v>14</v>
      </c>
      <c r="D962" s="2" t="s">
        <v>15</v>
      </c>
      <c r="E962" s="2" t="s">
        <v>23</v>
      </c>
      <c r="F962" s="3">
        <f>+5491123299310</f>
        <v>5491123299310</v>
      </c>
      <c r="G962" s="2" t="s">
        <v>4093</v>
      </c>
      <c r="H962" s="2" t="s">
        <v>25</v>
      </c>
      <c r="I962" s="2" t="s">
        <v>550</v>
      </c>
      <c r="J962" s="2" t="s">
        <v>4094</v>
      </c>
      <c r="K962" s="4">
        <v>46126.0</v>
      </c>
      <c r="L962" s="2" t="s">
        <v>4095</v>
      </c>
    </row>
    <row r="963">
      <c r="A963" s="2" t="s">
        <v>4096</v>
      </c>
      <c r="B963" s="2" t="s">
        <v>4097</v>
      </c>
      <c r="C963" s="2" t="s">
        <v>14</v>
      </c>
      <c r="D963" s="2" t="s">
        <v>15</v>
      </c>
      <c r="E963" s="2" t="s">
        <v>23</v>
      </c>
      <c r="F963" s="3">
        <f>+5491158872746</f>
        <v>5491158872746</v>
      </c>
      <c r="G963" s="2" t="s">
        <v>4098</v>
      </c>
      <c r="H963" s="2" t="s">
        <v>25</v>
      </c>
      <c r="I963" s="2" t="s">
        <v>26</v>
      </c>
      <c r="J963" s="2" t="s">
        <v>1745</v>
      </c>
      <c r="K963" s="4">
        <v>46126.0</v>
      </c>
      <c r="L963" s="2" t="s">
        <v>4099</v>
      </c>
    </row>
    <row r="964">
      <c r="A964" s="2" t="s">
        <v>4100</v>
      </c>
      <c r="B964" s="2" t="s">
        <v>4101</v>
      </c>
      <c r="C964" s="2" t="s">
        <v>14</v>
      </c>
      <c r="D964" s="2" t="s">
        <v>15</v>
      </c>
      <c r="E964" s="2" t="s">
        <v>23</v>
      </c>
      <c r="F964" s="3">
        <f>+5491132475468</f>
        <v>5491132475468</v>
      </c>
      <c r="G964" s="2" t="s">
        <v>4102</v>
      </c>
      <c r="H964" s="2" t="s">
        <v>32</v>
      </c>
      <c r="I964" s="2" t="s">
        <v>25</v>
      </c>
      <c r="J964" s="2" t="s">
        <v>403</v>
      </c>
      <c r="K964" s="4">
        <v>46126.0</v>
      </c>
      <c r="L964" s="2" t="s">
        <v>4103</v>
      </c>
    </row>
    <row r="965">
      <c r="A965" s="2" t="s">
        <v>4104</v>
      </c>
      <c r="B965" s="2" t="s">
        <v>4105</v>
      </c>
      <c r="C965" s="2" t="s">
        <v>14</v>
      </c>
      <c r="D965" s="2" t="s">
        <v>15</v>
      </c>
      <c r="E965" s="2" t="s">
        <v>23</v>
      </c>
      <c r="F965" s="3">
        <f>+5491153125483</f>
        <v>5491153125483</v>
      </c>
      <c r="G965" s="2" t="s">
        <v>4106</v>
      </c>
      <c r="H965" s="2" t="s">
        <v>25</v>
      </c>
      <c r="I965" s="2" t="s">
        <v>1920</v>
      </c>
      <c r="J965" s="2" t="s">
        <v>1920</v>
      </c>
      <c r="K965" s="4">
        <v>46126.0</v>
      </c>
      <c r="L965" s="2" t="s">
        <v>4107</v>
      </c>
    </row>
    <row r="966">
      <c r="A966" s="2" t="s">
        <v>4108</v>
      </c>
      <c r="B966" s="2" t="s">
        <v>4109</v>
      </c>
      <c r="C966" s="2" t="s">
        <v>14</v>
      </c>
      <c r="D966" s="2" t="s">
        <v>15</v>
      </c>
      <c r="E966" s="2" t="s">
        <v>23</v>
      </c>
      <c r="F966" s="3">
        <f>+5493777390952</f>
        <v>5493777390952</v>
      </c>
      <c r="G966" s="2" t="s">
        <v>4110</v>
      </c>
      <c r="H966" s="2" t="s">
        <v>25</v>
      </c>
      <c r="I966" s="2" t="s">
        <v>550</v>
      </c>
      <c r="J966" s="2" t="s">
        <v>550</v>
      </c>
      <c r="K966" s="4">
        <v>46126.0</v>
      </c>
      <c r="L966" s="2" t="s">
        <v>4111</v>
      </c>
    </row>
    <row r="967">
      <c r="A967" s="2" t="s">
        <v>4112</v>
      </c>
      <c r="B967" s="2" t="s">
        <v>4113</v>
      </c>
      <c r="C967" s="2" t="s">
        <v>14</v>
      </c>
      <c r="D967" s="2" t="s">
        <v>15</v>
      </c>
      <c r="E967" s="2" t="s">
        <v>16</v>
      </c>
      <c r="F967" s="3">
        <f>+5491111111111</f>
        <v>5491111111111</v>
      </c>
      <c r="G967" s="2" t="s">
        <v>4114</v>
      </c>
      <c r="H967" s="2" t="s">
        <v>32</v>
      </c>
      <c r="I967" s="2" t="s">
        <v>25</v>
      </c>
      <c r="J967" s="2" t="s">
        <v>33</v>
      </c>
      <c r="K967" s="4">
        <v>46126.0</v>
      </c>
      <c r="L967" s="2" t="s">
        <v>4115</v>
      </c>
    </row>
    <row r="968">
      <c r="A968" s="2" t="s">
        <v>4116</v>
      </c>
      <c r="B968" s="2" t="s">
        <v>4117</v>
      </c>
      <c r="C968" s="2" t="s">
        <v>14</v>
      </c>
      <c r="D968" s="2" t="s">
        <v>15</v>
      </c>
      <c r="E968" s="2" t="s">
        <v>23</v>
      </c>
      <c r="F968" s="3">
        <f>+5491137658262</f>
        <v>5491137658262</v>
      </c>
      <c r="G968" s="2" t="s">
        <v>4118</v>
      </c>
      <c r="H968" s="2" t="s">
        <v>25</v>
      </c>
      <c r="I968" s="2" t="s">
        <v>236</v>
      </c>
      <c r="J968" s="2" t="s">
        <v>236</v>
      </c>
      <c r="K968" s="4">
        <v>46126.0</v>
      </c>
      <c r="L968" s="2" t="s">
        <v>4119</v>
      </c>
    </row>
    <row r="969">
      <c r="A969" s="2" t="s">
        <v>4120</v>
      </c>
      <c r="B969" s="2" t="s">
        <v>4121</v>
      </c>
      <c r="C969" s="2" t="s">
        <v>14</v>
      </c>
      <c r="D969" s="2" t="s">
        <v>15</v>
      </c>
      <c r="E969" s="2" t="s">
        <v>23</v>
      </c>
      <c r="F969" s="3">
        <f>+5491130094049</f>
        <v>5491130094049</v>
      </c>
      <c r="G969" s="2" t="s">
        <v>4122</v>
      </c>
      <c r="H969" s="2" t="s">
        <v>32</v>
      </c>
      <c r="I969" s="2" t="s">
        <v>25</v>
      </c>
      <c r="J969" s="2" t="s">
        <v>759</v>
      </c>
      <c r="K969" s="4">
        <v>46126.0</v>
      </c>
      <c r="L969" s="2" t="s">
        <v>4123</v>
      </c>
    </row>
    <row r="970">
      <c r="A970" s="2" t="s">
        <v>4124</v>
      </c>
      <c r="B970" s="2" t="s">
        <v>4125</v>
      </c>
      <c r="C970" s="2" t="s">
        <v>14</v>
      </c>
      <c r="D970" s="2" t="s">
        <v>15</v>
      </c>
      <c r="E970" s="2" t="s">
        <v>16</v>
      </c>
      <c r="F970" s="3">
        <f>+5491151054903</f>
        <v>5491151054903</v>
      </c>
      <c r="G970" s="2" t="s">
        <v>4126</v>
      </c>
      <c r="H970" s="2" t="s">
        <v>32</v>
      </c>
      <c r="I970" s="2" t="s">
        <v>25</v>
      </c>
      <c r="J970" s="2" t="s">
        <v>33</v>
      </c>
      <c r="K970" s="4">
        <v>46126.0</v>
      </c>
      <c r="L970" s="2" t="s">
        <v>4127</v>
      </c>
    </row>
    <row r="971">
      <c r="A971" s="2" t="s">
        <v>4128</v>
      </c>
      <c r="B971" s="2" t="s">
        <v>4129</v>
      </c>
      <c r="C971" s="2" t="s">
        <v>14</v>
      </c>
      <c r="D971" s="2" t="s">
        <v>15</v>
      </c>
      <c r="E971" s="2" t="s">
        <v>23</v>
      </c>
      <c r="F971" s="3">
        <f>+5493513360925</f>
        <v>5493513360925</v>
      </c>
      <c r="G971" s="2" t="s">
        <v>4130</v>
      </c>
      <c r="H971" s="2" t="s">
        <v>18</v>
      </c>
      <c r="I971" s="2" t="s">
        <v>18</v>
      </c>
      <c r="J971" s="2" t="s">
        <v>4131</v>
      </c>
      <c r="K971" s="4">
        <v>46126.0</v>
      </c>
      <c r="L971" s="2" t="s">
        <v>4132</v>
      </c>
    </row>
    <row r="972">
      <c r="A972" s="2" t="s">
        <v>4133</v>
      </c>
      <c r="B972" s="2" t="s">
        <v>4134</v>
      </c>
      <c r="C972" s="2" t="s">
        <v>14</v>
      </c>
      <c r="D972" s="2" t="s">
        <v>15</v>
      </c>
      <c r="E972" s="2" t="s">
        <v>23</v>
      </c>
      <c r="F972" s="3">
        <f>+5491131062972</f>
        <v>5491131062972</v>
      </c>
      <c r="G972" s="2" t="s">
        <v>4135</v>
      </c>
      <c r="H972" s="2" t="s">
        <v>32</v>
      </c>
      <c r="I972" s="2" t="s">
        <v>25</v>
      </c>
      <c r="J972" s="2" t="s">
        <v>1444</v>
      </c>
      <c r="K972" s="4">
        <v>46126.0</v>
      </c>
      <c r="L972" s="2" t="s">
        <v>4136</v>
      </c>
    </row>
    <row r="973">
      <c r="A973" s="2" t="s">
        <v>4137</v>
      </c>
      <c r="B973" s="2" t="s">
        <v>4138</v>
      </c>
      <c r="C973" s="2" t="s">
        <v>14</v>
      </c>
      <c r="D973" s="2" t="s">
        <v>15</v>
      </c>
      <c r="E973" s="2" t="s">
        <v>23</v>
      </c>
      <c r="F973" s="3">
        <f>+5491178936735</f>
        <v>5491178936735</v>
      </c>
      <c r="G973" s="2" t="s">
        <v>4139</v>
      </c>
      <c r="H973" s="2" t="s">
        <v>25</v>
      </c>
      <c r="I973" s="2" t="s">
        <v>49</v>
      </c>
      <c r="J973" s="2" t="s">
        <v>2031</v>
      </c>
      <c r="K973" s="4">
        <v>46126.0</v>
      </c>
      <c r="L973" s="2" t="s">
        <v>4140</v>
      </c>
    </row>
    <row r="974">
      <c r="A974" s="2" t="s">
        <v>4141</v>
      </c>
      <c r="B974" s="2" t="s">
        <v>4142</v>
      </c>
      <c r="C974" s="2" t="s">
        <v>14</v>
      </c>
      <c r="D974" s="2" t="s">
        <v>15</v>
      </c>
      <c r="E974" s="2" t="s">
        <v>16</v>
      </c>
      <c r="F974" s="3">
        <f>+5491111111111</f>
        <v>5491111111111</v>
      </c>
      <c r="G974" s="2" t="s">
        <v>4143</v>
      </c>
      <c r="H974" s="2" t="s">
        <v>65</v>
      </c>
      <c r="I974" s="2" t="s">
        <v>218</v>
      </c>
      <c r="J974" s="2" t="s">
        <v>219</v>
      </c>
      <c r="K974" s="4">
        <v>46126.0</v>
      </c>
      <c r="L974" s="2" t="s">
        <v>4144</v>
      </c>
    </row>
    <row r="975">
      <c r="A975" s="2" t="s">
        <v>4145</v>
      </c>
      <c r="B975" s="2" t="s">
        <v>4146</v>
      </c>
      <c r="C975" s="2" t="s">
        <v>14</v>
      </c>
      <c r="D975" s="2" t="s">
        <v>15</v>
      </c>
      <c r="E975" s="2" t="s">
        <v>23</v>
      </c>
      <c r="F975" s="3">
        <f>+5491169615729</f>
        <v>5491169615729</v>
      </c>
      <c r="G975" s="2" t="s">
        <v>4147</v>
      </c>
      <c r="H975" s="2" t="s">
        <v>25</v>
      </c>
      <c r="I975" s="2" t="s">
        <v>486</v>
      </c>
      <c r="J975" s="2" t="s">
        <v>487</v>
      </c>
      <c r="K975" s="4">
        <v>46126.0</v>
      </c>
      <c r="L975" s="2" t="s">
        <v>4148</v>
      </c>
    </row>
    <row r="976">
      <c r="A976" s="2" t="s">
        <v>4149</v>
      </c>
      <c r="B976" s="2" t="s">
        <v>4150</v>
      </c>
      <c r="C976" s="2" t="s">
        <v>14</v>
      </c>
      <c r="D976" s="2" t="s">
        <v>15</v>
      </c>
      <c r="E976" s="2" t="s">
        <v>23</v>
      </c>
      <c r="F976" s="3">
        <f>+5493516773482</f>
        <v>5493516773482</v>
      </c>
      <c r="G976" s="2" t="s">
        <v>4151</v>
      </c>
      <c r="H976" s="2" t="s">
        <v>18</v>
      </c>
      <c r="I976" s="2" t="s">
        <v>18</v>
      </c>
      <c r="J976" s="2" t="s">
        <v>4152</v>
      </c>
      <c r="K976" s="4">
        <v>46126.0</v>
      </c>
      <c r="L976" s="2" t="s">
        <v>4153</v>
      </c>
    </row>
    <row r="977">
      <c r="A977" s="2" t="s">
        <v>4154</v>
      </c>
      <c r="B977" s="2" t="s">
        <v>4155</v>
      </c>
      <c r="C977" s="2" t="s">
        <v>14</v>
      </c>
      <c r="D977" s="2" t="s">
        <v>15</v>
      </c>
      <c r="E977" s="2" t="s">
        <v>23</v>
      </c>
      <c r="F977" s="3">
        <f>+5493417197196</f>
        <v>5493417197196</v>
      </c>
      <c r="G977" s="2" t="s">
        <v>4156</v>
      </c>
      <c r="H977" s="2" t="s">
        <v>65</v>
      </c>
      <c r="I977" s="2" t="s">
        <v>218</v>
      </c>
      <c r="J977" s="2" t="s">
        <v>219</v>
      </c>
      <c r="K977" s="4">
        <v>46126.0</v>
      </c>
      <c r="L977" s="2" t="s">
        <v>4157</v>
      </c>
    </row>
    <row r="978">
      <c r="A978" s="2" t="s">
        <v>4158</v>
      </c>
      <c r="B978" s="2" t="s">
        <v>4159</v>
      </c>
      <c r="C978" s="2" t="s">
        <v>14</v>
      </c>
      <c r="D978" s="2" t="s">
        <v>15</v>
      </c>
      <c r="E978" s="2" t="s">
        <v>16</v>
      </c>
      <c r="F978" s="3">
        <f>+5491136648698</f>
        <v>5491136648698</v>
      </c>
      <c r="G978" s="2" t="s">
        <v>4160</v>
      </c>
      <c r="H978" s="2" t="s">
        <v>32</v>
      </c>
      <c r="I978" s="2" t="s">
        <v>25</v>
      </c>
      <c r="J978" s="2" t="s">
        <v>33</v>
      </c>
      <c r="K978" s="4">
        <v>46126.0</v>
      </c>
      <c r="L978" s="2" t="s">
        <v>4161</v>
      </c>
    </row>
    <row r="979">
      <c r="A979" s="2" t="s">
        <v>4162</v>
      </c>
      <c r="B979" s="2" t="s">
        <v>4163</v>
      </c>
      <c r="C979" s="2" t="s">
        <v>14</v>
      </c>
      <c r="D979" s="2" t="s">
        <v>15</v>
      </c>
      <c r="E979" s="2" t="s">
        <v>16</v>
      </c>
      <c r="F979" s="3">
        <f>+5491127015555</f>
        <v>5491127015555</v>
      </c>
      <c r="G979" s="2" t="s">
        <v>4164</v>
      </c>
      <c r="H979" s="2" t="s">
        <v>25</v>
      </c>
      <c r="I979" s="2" t="s">
        <v>38</v>
      </c>
      <c r="J979" s="2" t="s">
        <v>103</v>
      </c>
      <c r="K979" s="4">
        <v>46125.0</v>
      </c>
      <c r="L979" s="2" t="s">
        <v>4165</v>
      </c>
    </row>
    <row r="980">
      <c r="A980" s="2" t="s">
        <v>4166</v>
      </c>
      <c r="B980" s="2" t="s">
        <v>4167</v>
      </c>
      <c r="C980" s="2" t="s">
        <v>14</v>
      </c>
      <c r="D980" s="2" t="s">
        <v>15</v>
      </c>
      <c r="E980" s="2" t="s">
        <v>23</v>
      </c>
      <c r="F980" s="3">
        <f>+5491150407234</f>
        <v>5491150407234</v>
      </c>
      <c r="G980" s="2" t="s">
        <v>4168</v>
      </c>
      <c r="H980" s="2" t="s">
        <v>32</v>
      </c>
      <c r="I980" s="2" t="s">
        <v>25</v>
      </c>
      <c r="J980" s="2" t="s">
        <v>4169</v>
      </c>
      <c r="K980" s="4">
        <v>46125.0</v>
      </c>
      <c r="L980" s="2" t="s">
        <v>4170</v>
      </c>
    </row>
    <row r="981">
      <c r="A981" s="2" t="s">
        <v>4171</v>
      </c>
      <c r="B981" s="2" t="s">
        <v>4172</v>
      </c>
      <c r="C981" s="2" t="s">
        <v>14</v>
      </c>
      <c r="D981" s="2" t="s">
        <v>15</v>
      </c>
      <c r="E981" s="2" t="s">
        <v>23</v>
      </c>
      <c r="F981" s="3">
        <f>+5491128332056</f>
        <v>5491128332056</v>
      </c>
      <c r="G981" s="2" t="s">
        <v>4173</v>
      </c>
      <c r="H981" s="2" t="s">
        <v>25</v>
      </c>
      <c r="I981" s="2" t="s">
        <v>309</v>
      </c>
      <c r="J981" s="2" t="s">
        <v>309</v>
      </c>
      <c r="K981" s="4">
        <v>46125.0</v>
      </c>
      <c r="L981" s="2" t="s">
        <v>4174</v>
      </c>
    </row>
    <row r="982">
      <c r="A982" s="2" t="s">
        <v>4175</v>
      </c>
      <c r="B982" s="2" t="s">
        <v>4176</v>
      </c>
      <c r="C982" s="2" t="s">
        <v>14</v>
      </c>
      <c r="D982" s="2" t="s">
        <v>15</v>
      </c>
      <c r="E982" s="2" t="s">
        <v>16</v>
      </c>
      <c r="F982" s="3">
        <f>+5491162121904</f>
        <v>5491162121904</v>
      </c>
      <c r="G982" s="2" t="s">
        <v>4177</v>
      </c>
      <c r="H982" s="2" t="s">
        <v>32</v>
      </c>
      <c r="I982" s="2" t="s">
        <v>25</v>
      </c>
      <c r="J982" s="2" t="s">
        <v>759</v>
      </c>
      <c r="K982" s="4">
        <v>46125.0</v>
      </c>
      <c r="L982" s="2" t="s">
        <v>4178</v>
      </c>
    </row>
    <row r="983">
      <c r="A983" s="2" t="s">
        <v>4179</v>
      </c>
      <c r="B983" s="2" t="s">
        <v>4180</v>
      </c>
      <c r="C983" s="2" t="s">
        <v>14</v>
      </c>
      <c r="D983" s="2" t="s">
        <v>15</v>
      </c>
      <c r="E983" s="2" t="s">
        <v>16</v>
      </c>
      <c r="F983" s="3">
        <f>+5491122873431</f>
        <v>5491122873431</v>
      </c>
      <c r="G983" s="2" t="s">
        <v>4181</v>
      </c>
      <c r="H983" s="2" t="s">
        <v>25</v>
      </c>
      <c r="I983" s="2" t="s">
        <v>1920</v>
      </c>
      <c r="J983" s="2" t="s">
        <v>4182</v>
      </c>
      <c r="K983" s="4">
        <v>46125.0</v>
      </c>
      <c r="L983" s="2" t="s">
        <v>4183</v>
      </c>
    </row>
    <row r="984">
      <c r="A984" s="2" t="s">
        <v>4184</v>
      </c>
      <c r="B984" s="2" t="s">
        <v>4185</v>
      </c>
      <c r="C984" s="2" t="s">
        <v>14</v>
      </c>
      <c r="D984" s="2" t="s">
        <v>15</v>
      </c>
      <c r="E984" s="2" t="s">
        <v>23</v>
      </c>
      <c r="F984" s="3">
        <f>+5493512324297</f>
        <v>5493512324297</v>
      </c>
      <c r="G984" s="2" t="s">
        <v>4186</v>
      </c>
      <c r="H984" s="2" t="s">
        <v>18</v>
      </c>
      <c r="I984" s="2" t="s">
        <v>18</v>
      </c>
      <c r="J984" s="2" t="s">
        <v>1514</v>
      </c>
      <c r="K984" s="4">
        <v>46125.0</v>
      </c>
      <c r="L984" s="2" t="s">
        <v>4187</v>
      </c>
    </row>
    <row r="985">
      <c r="A985" s="2" t="s">
        <v>4188</v>
      </c>
      <c r="B985" s="2" t="s">
        <v>4189</v>
      </c>
      <c r="C985" s="2" t="s">
        <v>14</v>
      </c>
      <c r="D985" s="2" t="s">
        <v>15</v>
      </c>
      <c r="E985" s="2" t="s">
        <v>23</v>
      </c>
      <c r="F985" s="3">
        <f>+5491137613537</f>
        <v>5491137613537</v>
      </c>
      <c r="G985" s="2" t="s">
        <v>4190</v>
      </c>
      <c r="H985" s="2" t="s">
        <v>25</v>
      </c>
      <c r="I985" s="2" t="s">
        <v>78</v>
      </c>
      <c r="J985" s="2" t="s">
        <v>3108</v>
      </c>
      <c r="K985" s="4">
        <v>46125.0</v>
      </c>
      <c r="L985" s="2" t="s">
        <v>4191</v>
      </c>
    </row>
    <row r="986">
      <c r="A986" s="2" t="s">
        <v>4192</v>
      </c>
      <c r="B986" s="2" t="s">
        <v>4193</v>
      </c>
      <c r="C986" s="2" t="s">
        <v>14</v>
      </c>
      <c r="D986" s="2" t="s">
        <v>15</v>
      </c>
      <c r="E986" s="2" t="s">
        <v>16</v>
      </c>
      <c r="F986" s="3">
        <f>+5492235804641</f>
        <v>5492235804641</v>
      </c>
      <c r="G986" s="2" t="s">
        <v>4194</v>
      </c>
      <c r="H986" s="2" t="s">
        <v>25</v>
      </c>
      <c r="I986" s="2" t="s">
        <v>649</v>
      </c>
      <c r="J986" s="2" t="s">
        <v>2649</v>
      </c>
      <c r="K986" s="4">
        <v>46125.0</v>
      </c>
      <c r="L986" s="2" t="s">
        <v>4195</v>
      </c>
    </row>
    <row r="987">
      <c r="A987" s="2" t="s">
        <v>4196</v>
      </c>
      <c r="B987" s="2" t="s">
        <v>4197</v>
      </c>
      <c r="C987" s="2" t="s">
        <v>14</v>
      </c>
      <c r="D987" s="2" t="s">
        <v>15</v>
      </c>
      <c r="E987" s="2" t="s">
        <v>23</v>
      </c>
      <c r="F987" s="3">
        <f>+5491123887756</f>
        <v>5491123887756</v>
      </c>
      <c r="G987" s="2" t="s">
        <v>4198</v>
      </c>
      <c r="H987" s="2" t="s">
        <v>32</v>
      </c>
      <c r="I987" s="2" t="s">
        <v>25</v>
      </c>
      <c r="J987" s="2" t="s">
        <v>759</v>
      </c>
      <c r="K987" s="4">
        <v>46125.0</v>
      </c>
      <c r="L987" s="2" t="s">
        <v>4199</v>
      </c>
    </row>
    <row r="988">
      <c r="A988" s="2" t="s">
        <v>4200</v>
      </c>
      <c r="B988" s="2" t="s">
        <v>4201</v>
      </c>
      <c r="C988" s="2" t="s">
        <v>14</v>
      </c>
      <c r="D988" s="2" t="s">
        <v>15</v>
      </c>
      <c r="E988" s="2" t="s">
        <v>23</v>
      </c>
      <c r="F988" s="3">
        <f>+5491126958416</f>
        <v>5491126958416</v>
      </c>
      <c r="G988" s="2" t="s">
        <v>4202</v>
      </c>
      <c r="H988" s="2" t="s">
        <v>32</v>
      </c>
      <c r="I988" s="2" t="s">
        <v>25</v>
      </c>
      <c r="J988" s="2" t="s">
        <v>846</v>
      </c>
      <c r="K988" s="4">
        <v>46125.0</v>
      </c>
      <c r="L988" s="2" t="s">
        <v>4203</v>
      </c>
    </row>
    <row r="989">
      <c r="A989" s="2" t="s">
        <v>4204</v>
      </c>
      <c r="B989" s="2" t="s">
        <v>4205</v>
      </c>
      <c r="C989" s="2" t="s">
        <v>14</v>
      </c>
      <c r="D989" s="2" t="s">
        <v>15</v>
      </c>
      <c r="E989" s="2" t="s">
        <v>23</v>
      </c>
      <c r="F989" s="3">
        <f>+5491144392162</f>
        <v>5491144392162</v>
      </c>
      <c r="G989" s="2" t="s">
        <v>4206</v>
      </c>
      <c r="H989" s="2" t="s">
        <v>32</v>
      </c>
      <c r="I989" s="2" t="s">
        <v>25</v>
      </c>
      <c r="J989" s="2" t="s">
        <v>594</v>
      </c>
      <c r="K989" s="4">
        <v>46125.0</v>
      </c>
      <c r="L989" s="2" t="s">
        <v>4207</v>
      </c>
    </row>
    <row r="990">
      <c r="A990" s="2" t="s">
        <v>4208</v>
      </c>
      <c r="B990" s="2" t="s">
        <v>4209</v>
      </c>
      <c r="C990" s="2" t="s">
        <v>14</v>
      </c>
      <c r="D990" s="2" t="s">
        <v>15</v>
      </c>
      <c r="E990" s="2" t="s">
        <v>23</v>
      </c>
      <c r="F990" s="3">
        <f>+5491123879390</f>
        <v>5491123879390</v>
      </c>
      <c r="G990" s="2" t="s">
        <v>4210</v>
      </c>
      <c r="H990" s="2" t="s">
        <v>25</v>
      </c>
      <c r="I990" s="2" t="s">
        <v>236</v>
      </c>
      <c r="J990" s="2" t="s">
        <v>236</v>
      </c>
      <c r="K990" s="4">
        <v>46125.0</v>
      </c>
      <c r="L990" s="2" t="s">
        <v>4211</v>
      </c>
    </row>
    <row r="991">
      <c r="A991" s="2" t="s">
        <v>4212</v>
      </c>
      <c r="B991" s="2" t="s">
        <v>4213</v>
      </c>
      <c r="C991" s="2" t="s">
        <v>14</v>
      </c>
      <c r="D991" s="2" t="s">
        <v>15</v>
      </c>
      <c r="E991" s="2" t="s">
        <v>23</v>
      </c>
      <c r="F991" s="3">
        <f>+5491137805827</f>
        <v>5491137805827</v>
      </c>
      <c r="G991" s="2" t="s">
        <v>4214</v>
      </c>
      <c r="H991" s="2" t="s">
        <v>32</v>
      </c>
      <c r="I991" s="2" t="s">
        <v>25</v>
      </c>
      <c r="J991" s="2" t="s">
        <v>266</v>
      </c>
      <c r="K991" s="4">
        <v>46125.0</v>
      </c>
      <c r="L991" s="2" t="s">
        <v>4215</v>
      </c>
    </row>
    <row r="992">
      <c r="A992" s="2" t="s">
        <v>4216</v>
      </c>
      <c r="B992" s="2" t="s">
        <v>4217</v>
      </c>
      <c r="C992" s="2" t="s">
        <v>14</v>
      </c>
      <c r="D992" s="2" t="s">
        <v>15</v>
      </c>
      <c r="E992" s="2" t="s">
        <v>23</v>
      </c>
      <c r="F992" s="3">
        <f>+5491172145645</f>
        <v>5491172145645</v>
      </c>
      <c r="G992" s="2" t="s">
        <v>4218</v>
      </c>
      <c r="H992" s="2" t="s">
        <v>32</v>
      </c>
      <c r="I992" s="2" t="s">
        <v>25</v>
      </c>
      <c r="J992" s="2" t="s">
        <v>4219</v>
      </c>
      <c r="K992" s="4">
        <v>46125.0</v>
      </c>
      <c r="L992" s="2" t="s">
        <v>4220</v>
      </c>
    </row>
    <row r="993">
      <c r="A993" s="2" t="s">
        <v>4221</v>
      </c>
      <c r="B993" s="2" t="s">
        <v>4222</v>
      </c>
      <c r="C993" s="2" t="s">
        <v>14</v>
      </c>
      <c r="D993" s="2" t="s">
        <v>15</v>
      </c>
      <c r="E993" s="2" t="s">
        <v>16</v>
      </c>
      <c r="F993" s="3">
        <f>+5492323536424</f>
        <v>5492323536424</v>
      </c>
      <c r="G993" s="2" t="s">
        <v>4223</v>
      </c>
      <c r="H993" s="2" t="s">
        <v>25</v>
      </c>
      <c r="I993" s="2" t="s">
        <v>1671</v>
      </c>
      <c r="J993" s="2" t="s">
        <v>1671</v>
      </c>
      <c r="K993" s="4">
        <v>46125.0</v>
      </c>
      <c r="L993" s="2" t="s">
        <v>4224</v>
      </c>
    </row>
    <row r="994">
      <c r="A994" s="2" t="s">
        <v>4225</v>
      </c>
      <c r="B994" s="2" t="s">
        <v>4226</v>
      </c>
      <c r="C994" s="2" t="s">
        <v>14</v>
      </c>
      <c r="D994" s="2" t="s">
        <v>15</v>
      </c>
      <c r="E994" s="2" t="s">
        <v>16</v>
      </c>
      <c r="F994" s="3">
        <f>+5491164059435</f>
        <v>5491164059435</v>
      </c>
      <c r="G994" s="2" t="s">
        <v>4227</v>
      </c>
      <c r="H994" s="2" t="s">
        <v>25</v>
      </c>
      <c r="I994" s="2" t="s">
        <v>38</v>
      </c>
      <c r="J994" s="2" t="s">
        <v>39</v>
      </c>
      <c r="K994" s="4">
        <v>46125.0</v>
      </c>
      <c r="L994" s="2" t="s">
        <v>4228</v>
      </c>
    </row>
    <row r="995">
      <c r="A995" s="2" t="s">
        <v>4229</v>
      </c>
      <c r="B995" s="2" t="s">
        <v>4230</v>
      </c>
      <c r="C995" s="2" t="s">
        <v>14</v>
      </c>
      <c r="D995" s="2" t="s">
        <v>15</v>
      </c>
      <c r="E995" s="2" t="s">
        <v>23</v>
      </c>
      <c r="F995" s="3">
        <f>+5493513259687</f>
        <v>5493513259687</v>
      </c>
      <c r="G995" s="2" t="s">
        <v>4231</v>
      </c>
      <c r="H995" s="2" t="s">
        <v>18</v>
      </c>
      <c r="I995" s="2" t="s">
        <v>18</v>
      </c>
      <c r="J995" s="2" t="s">
        <v>219</v>
      </c>
      <c r="K995" s="4">
        <v>46125.0</v>
      </c>
      <c r="L995" s="2" t="s">
        <v>4232</v>
      </c>
    </row>
    <row r="996">
      <c r="A996" s="2" t="s">
        <v>4233</v>
      </c>
      <c r="B996" s="2" t="s">
        <v>4234</v>
      </c>
      <c r="C996" s="2" t="s">
        <v>14</v>
      </c>
      <c r="D996" s="2" t="s">
        <v>15</v>
      </c>
      <c r="E996" s="2" t="s">
        <v>16</v>
      </c>
      <c r="F996" s="3">
        <f>+5491125161711</f>
        <v>5491125161711</v>
      </c>
      <c r="G996" s="2" t="s">
        <v>4235</v>
      </c>
      <c r="H996" s="2" t="s">
        <v>32</v>
      </c>
      <c r="I996" s="2" t="s">
        <v>25</v>
      </c>
      <c r="J996" s="2" t="s">
        <v>702</v>
      </c>
      <c r="K996" s="4">
        <v>46125.0</v>
      </c>
      <c r="L996" s="2" t="s">
        <v>4236</v>
      </c>
    </row>
    <row r="997">
      <c r="A997" s="2" t="s">
        <v>4237</v>
      </c>
      <c r="B997" s="2" t="s">
        <v>4238</v>
      </c>
      <c r="C997" s="2" t="s">
        <v>14</v>
      </c>
      <c r="D997" s="2" t="s">
        <v>15</v>
      </c>
      <c r="E997" s="2" t="s">
        <v>23</v>
      </c>
      <c r="F997" s="3">
        <f>+5491132274474</f>
        <v>5491132274474</v>
      </c>
      <c r="G997" s="2" t="s">
        <v>4239</v>
      </c>
      <c r="H997" s="2" t="s">
        <v>25</v>
      </c>
      <c r="I997" s="2" t="s">
        <v>309</v>
      </c>
      <c r="J997" s="2" t="s">
        <v>1449</v>
      </c>
      <c r="K997" s="4">
        <v>46125.0</v>
      </c>
      <c r="L997" s="2" t="s">
        <v>4240</v>
      </c>
    </row>
    <row r="998">
      <c r="A998" s="2" t="s">
        <v>4241</v>
      </c>
      <c r="B998" s="2" t="s">
        <v>4242</v>
      </c>
      <c r="C998" s="2" t="s">
        <v>14</v>
      </c>
      <c r="D998" s="2" t="s">
        <v>15</v>
      </c>
      <c r="E998" s="2" t="s">
        <v>23</v>
      </c>
      <c r="F998" s="3">
        <f>+5491144392162</f>
        <v>5491144392162</v>
      </c>
      <c r="G998" s="2" t="s">
        <v>4243</v>
      </c>
      <c r="H998" s="2" t="s">
        <v>25</v>
      </c>
      <c r="I998" s="2" t="s">
        <v>26</v>
      </c>
      <c r="J998" s="2" t="s">
        <v>1280</v>
      </c>
      <c r="K998" s="4">
        <v>46125.0</v>
      </c>
      <c r="L998" s="2" t="s">
        <v>4244</v>
      </c>
    </row>
    <row r="999">
      <c r="A999" s="2" t="s">
        <v>4245</v>
      </c>
      <c r="B999" s="2" t="s">
        <v>4246</v>
      </c>
      <c r="C999" s="2" t="s">
        <v>14</v>
      </c>
      <c r="D999" s="2" t="s">
        <v>15</v>
      </c>
      <c r="E999" s="2" t="s">
        <v>16</v>
      </c>
      <c r="F999" s="3">
        <f>+5491128775769</f>
        <v>5491128775769</v>
      </c>
      <c r="G999" s="2" t="s">
        <v>4247</v>
      </c>
      <c r="H999" s="2" t="s">
        <v>32</v>
      </c>
      <c r="I999" s="2" t="s">
        <v>25</v>
      </c>
      <c r="J999" s="2" t="s">
        <v>169</v>
      </c>
      <c r="K999" s="4">
        <v>46125.0</v>
      </c>
      <c r="L999" s="2" t="s">
        <v>4248</v>
      </c>
    </row>
    <row r="1000">
      <c r="A1000" s="2" t="s">
        <v>4249</v>
      </c>
      <c r="B1000" s="2" t="s">
        <v>4250</v>
      </c>
      <c r="C1000" s="2" t="s">
        <v>14</v>
      </c>
      <c r="D1000" s="2" t="s">
        <v>15</v>
      </c>
      <c r="E1000" s="2" t="s">
        <v>23</v>
      </c>
      <c r="F1000" s="3">
        <f>+5491135972389</f>
        <v>5491135972389</v>
      </c>
      <c r="G1000" s="2" t="s">
        <v>4251</v>
      </c>
      <c r="H1000" s="2" t="s">
        <v>25</v>
      </c>
      <c r="I1000" s="2" t="s">
        <v>118</v>
      </c>
      <c r="J1000" s="2" t="s">
        <v>134</v>
      </c>
      <c r="K1000" s="4">
        <v>46125.0</v>
      </c>
      <c r="L1000" s="2" t="s">
        <v>4252</v>
      </c>
    </row>
    <row r="1001">
      <c r="A1001" s="2" t="s">
        <v>4253</v>
      </c>
      <c r="B1001" s="2" t="s">
        <v>4254</v>
      </c>
      <c r="C1001" s="2" t="s">
        <v>14</v>
      </c>
      <c r="D1001" s="2" t="s">
        <v>15</v>
      </c>
      <c r="E1001" s="2" t="s">
        <v>23</v>
      </c>
      <c r="F1001" s="3">
        <f>+5493541632017</f>
        <v>5493541632017</v>
      </c>
      <c r="G1001" s="2" t="s">
        <v>4255</v>
      </c>
      <c r="H1001" s="2" t="s">
        <v>18</v>
      </c>
      <c r="I1001" s="2" t="s">
        <v>535</v>
      </c>
      <c r="J1001" s="2" t="s">
        <v>630</v>
      </c>
      <c r="K1001" s="4">
        <v>46125.0</v>
      </c>
      <c r="L1001" s="2" t="s">
        <v>4256</v>
      </c>
    </row>
    <row r="1002">
      <c r="A1002" s="2" t="s">
        <v>4257</v>
      </c>
      <c r="B1002" s="2" t="s">
        <v>4258</v>
      </c>
      <c r="C1002" s="2" t="s">
        <v>14</v>
      </c>
      <c r="D1002" s="2" t="s">
        <v>15</v>
      </c>
      <c r="E1002" s="2" t="s">
        <v>23</v>
      </c>
      <c r="F1002" s="3">
        <f>+5492235446858</f>
        <v>5492235446858</v>
      </c>
      <c r="G1002" s="2" t="s">
        <v>4259</v>
      </c>
      <c r="H1002" s="2" t="s">
        <v>25</v>
      </c>
      <c r="I1002" s="2" t="s">
        <v>649</v>
      </c>
      <c r="J1002" s="2" t="s">
        <v>659</v>
      </c>
      <c r="K1002" s="4">
        <v>46125.0</v>
      </c>
      <c r="L1002" s="2" t="s">
        <v>4260</v>
      </c>
    </row>
    <row r="1003">
      <c r="A1003" s="2" t="s">
        <v>4261</v>
      </c>
      <c r="B1003" s="2" t="s">
        <v>4262</v>
      </c>
      <c r="C1003" s="2" t="s">
        <v>14</v>
      </c>
      <c r="D1003" s="2" t="s">
        <v>15</v>
      </c>
      <c r="E1003" s="2" t="s">
        <v>23</v>
      </c>
      <c r="F1003" s="3">
        <f>+5491130850668</f>
        <v>5491130850668</v>
      </c>
      <c r="G1003" s="2" t="s">
        <v>4263</v>
      </c>
      <c r="H1003" s="2" t="s">
        <v>25</v>
      </c>
      <c r="I1003" s="2" t="s">
        <v>1378</v>
      </c>
      <c r="J1003" s="2" t="s">
        <v>1378</v>
      </c>
      <c r="K1003" s="4">
        <v>46125.0</v>
      </c>
      <c r="L1003" s="2" t="s">
        <v>4264</v>
      </c>
    </row>
    <row r="1004">
      <c r="A1004" s="2" t="s">
        <v>4265</v>
      </c>
      <c r="B1004" s="2" t="s">
        <v>4266</v>
      </c>
      <c r="C1004" s="2" t="s">
        <v>14</v>
      </c>
      <c r="D1004" s="2" t="s">
        <v>15</v>
      </c>
      <c r="E1004" s="2" t="s">
        <v>16</v>
      </c>
      <c r="F1004" s="3">
        <f>+5491139423380</f>
        <v>5491139423380</v>
      </c>
      <c r="G1004" s="2" t="s">
        <v>4267</v>
      </c>
      <c r="H1004" s="2" t="s">
        <v>25</v>
      </c>
      <c r="I1004" s="2" t="s">
        <v>49</v>
      </c>
      <c r="J1004" s="2" t="s">
        <v>2031</v>
      </c>
      <c r="K1004" s="4">
        <v>46125.0</v>
      </c>
      <c r="L1004" s="2" t="s">
        <v>4268</v>
      </c>
    </row>
    <row r="1005">
      <c r="A1005" s="2" t="s">
        <v>4269</v>
      </c>
      <c r="B1005" s="2" t="s">
        <v>4270</v>
      </c>
      <c r="C1005" s="2" t="s">
        <v>14</v>
      </c>
      <c r="D1005" s="2" t="s">
        <v>15</v>
      </c>
      <c r="E1005" s="2" t="s">
        <v>23</v>
      </c>
      <c r="F1005" s="3">
        <f>+5491124724812</f>
        <v>5491124724812</v>
      </c>
      <c r="G1005" s="2" t="s">
        <v>4271</v>
      </c>
      <c r="H1005" s="2" t="s">
        <v>25</v>
      </c>
      <c r="I1005" s="2" t="s">
        <v>49</v>
      </c>
      <c r="J1005" s="2" t="s">
        <v>49</v>
      </c>
      <c r="K1005" s="4">
        <v>46125.0</v>
      </c>
      <c r="L1005" s="2" t="s">
        <v>4272</v>
      </c>
    </row>
    <row r="1006">
      <c r="A1006" s="2" t="s">
        <v>4273</v>
      </c>
      <c r="B1006" s="2" t="s">
        <v>4274</v>
      </c>
      <c r="C1006" s="2" t="s">
        <v>14</v>
      </c>
      <c r="D1006" s="2" t="s">
        <v>15</v>
      </c>
      <c r="E1006" s="2" t="s">
        <v>23</v>
      </c>
      <c r="F1006" s="3">
        <f>+5491124085483</f>
        <v>5491124085483</v>
      </c>
      <c r="G1006" s="2" t="s">
        <v>4275</v>
      </c>
      <c r="H1006" s="2" t="s">
        <v>32</v>
      </c>
      <c r="I1006" s="2" t="s">
        <v>25</v>
      </c>
      <c r="J1006" s="2" t="s">
        <v>594</v>
      </c>
      <c r="K1006" s="4">
        <v>46125.0</v>
      </c>
      <c r="L1006" s="2" t="s">
        <v>4276</v>
      </c>
    </row>
    <row r="1007">
      <c r="A1007" s="2" t="s">
        <v>4277</v>
      </c>
      <c r="B1007" s="2" t="s">
        <v>4278</v>
      </c>
      <c r="C1007" s="2" t="s">
        <v>14</v>
      </c>
      <c r="D1007" s="2" t="s">
        <v>15</v>
      </c>
      <c r="E1007" s="2" t="s">
        <v>23</v>
      </c>
      <c r="F1007" s="3">
        <f>+5491124011638</f>
        <v>5491124011638</v>
      </c>
      <c r="G1007" s="2" t="s">
        <v>4279</v>
      </c>
      <c r="H1007" s="2" t="s">
        <v>32</v>
      </c>
      <c r="I1007" s="2" t="s">
        <v>25</v>
      </c>
      <c r="J1007" s="2" t="s">
        <v>1864</v>
      </c>
      <c r="K1007" s="4">
        <v>46125.0</v>
      </c>
      <c r="L1007" s="2" t="s">
        <v>4280</v>
      </c>
    </row>
    <row r="1008">
      <c r="A1008" s="2" t="s">
        <v>4281</v>
      </c>
      <c r="B1008" s="2" t="s">
        <v>4282</v>
      </c>
      <c r="C1008" s="2" t="s">
        <v>14</v>
      </c>
      <c r="D1008" s="2" t="s">
        <v>15</v>
      </c>
      <c r="E1008" s="2" t="s">
        <v>23</v>
      </c>
      <c r="F1008" s="3">
        <f>+5491131616881</f>
        <v>5491131616881</v>
      </c>
      <c r="G1008" s="2" t="s">
        <v>4283</v>
      </c>
      <c r="H1008" s="2" t="s">
        <v>25</v>
      </c>
      <c r="I1008" s="2" t="s">
        <v>550</v>
      </c>
      <c r="J1008" s="2" t="s">
        <v>550</v>
      </c>
      <c r="K1008" s="4">
        <v>46125.0</v>
      </c>
      <c r="L1008" s="2" t="s">
        <v>4284</v>
      </c>
    </row>
    <row r="1009">
      <c r="A1009" s="2" t="s">
        <v>4285</v>
      </c>
      <c r="B1009" s="2" t="s">
        <v>4286</v>
      </c>
      <c r="C1009" s="2" t="s">
        <v>14</v>
      </c>
      <c r="D1009" s="2" t="s">
        <v>15</v>
      </c>
      <c r="E1009" s="2" t="s">
        <v>23</v>
      </c>
      <c r="F1009" s="3">
        <f>+5493512142737</f>
        <v>5493512142737</v>
      </c>
      <c r="G1009" s="2" t="s">
        <v>4287</v>
      </c>
      <c r="H1009" s="2" t="s">
        <v>18</v>
      </c>
      <c r="I1009" s="2" t="s">
        <v>18</v>
      </c>
      <c r="J1009" s="2" t="s">
        <v>712</v>
      </c>
      <c r="K1009" s="4">
        <v>46125.0</v>
      </c>
      <c r="L1009" s="2" t="s">
        <v>4288</v>
      </c>
    </row>
    <row r="1010">
      <c r="A1010" s="2" t="s">
        <v>4289</v>
      </c>
      <c r="B1010" s="2" t="s">
        <v>4290</v>
      </c>
      <c r="C1010" s="2" t="s">
        <v>185</v>
      </c>
      <c r="D1010" s="2" t="s">
        <v>15</v>
      </c>
      <c r="E1010" s="2" t="s">
        <v>16</v>
      </c>
      <c r="F1010" s="3">
        <f>+5491165666006</f>
        <v>5491165666006</v>
      </c>
      <c r="G1010" s="2" t="s">
        <v>4291</v>
      </c>
      <c r="H1010" s="2" t="s">
        <v>32</v>
      </c>
      <c r="I1010" s="2" t="s">
        <v>25</v>
      </c>
      <c r="J1010" s="2" t="s">
        <v>594</v>
      </c>
      <c r="K1010" s="4">
        <v>46125.0</v>
      </c>
      <c r="L1010" s="2" t="s">
        <v>4292</v>
      </c>
    </row>
    <row r="1011">
      <c r="A1011" s="2" t="s">
        <v>4293</v>
      </c>
      <c r="B1011" s="2" t="s">
        <v>4294</v>
      </c>
      <c r="C1011" s="2" t="s">
        <v>185</v>
      </c>
      <c r="D1011" s="2" t="s">
        <v>15</v>
      </c>
      <c r="E1011" s="2" t="s">
        <v>23</v>
      </c>
      <c r="F1011" s="3">
        <f>+5491111111111</f>
        <v>5491111111111</v>
      </c>
      <c r="G1011" s="2" t="s">
        <v>4295</v>
      </c>
      <c r="H1011" s="2" t="s">
        <v>25</v>
      </c>
      <c r="I1011" s="2" t="s">
        <v>118</v>
      </c>
      <c r="J1011" s="2" t="s">
        <v>124</v>
      </c>
      <c r="K1011" s="4">
        <v>46125.0</v>
      </c>
      <c r="L1011" s="2" t="s">
        <v>4296</v>
      </c>
    </row>
    <row r="1012">
      <c r="A1012" s="2" t="s">
        <v>4297</v>
      </c>
      <c r="B1012" s="2" t="s">
        <v>4298</v>
      </c>
      <c r="C1012" s="2" t="s">
        <v>14</v>
      </c>
      <c r="D1012" s="2" t="s">
        <v>15</v>
      </c>
      <c r="E1012" s="2" t="s">
        <v>23</v>
      </c>
      <c r="F1012" s="3">
        <f>+5491154916561</f>
        <v>5491154916561</v>
      </c>
      <c r="G1012" s="2" t="s">
        <v>4299</v>
      </c>
      <c r="H1012" s="2" t="s">
        <v>32</v>
      </c>
      <c r="I1012" s="2" t="s">
        <v>25</v>
      </c>
      <c r="J1012" s="2" t="s">
        <v>266</v>
      </c>
      <c r="K1012" s="4">
        <v>46125.0</v>
      </c>
      <c r="L1012" s="2" t="s">
        <v>4300</v>
      </c>
    </row>
    <row r="1013">
      <c r="A1013" s="2" t="s">
        <v>4301</v>
      </c>
      <c r="B1013" s="2" t="s">
        <v>4302</v>
      </c>
      <c r="C1013" s="2" t="s">
        <v>14</v>
      </c>
      <c r="D1013" s="2" t="s">
        <v>15</v>
      </c>
      <c r="E1013" s="2" t="s">
        <v>23</v>
      </c>
      <c r="F1013" s="3">
        <f>+5491122543615</f>
        <v>5491122543615</v>
      </c>
      <c r="G1013" s="2" t="s">
        <v>4303</v>
      </c>
      <c r="H1013" s="2" t="s">
        <v>32</v>
      </c>
      <c r="I1013" s="2" t="s">
        <v>25</v>
      </c>
      <c r="J1013" s="2" t="s">
        <v>403</v>
      </c>
      <c r="K1013" s="4">
        <v>46125.0</v>
      </c>
      <c r="L1013" s="2" t="s">
        <v>4304</v>
      </c>
    </row>
    <row r="1014">
      <c r="A1014" s="2" t="s">
        <v>4305</v>
      </c>
      <c r="B1014" s="2" t="s">
        <v>4306</v>
      </c>
      <c r="C1014" s="2" t="s">
        <v>14</v>
      </c>
      <c r="D1014" s="2" t="s">
        <v>15</v>
      </c>
      <c r="E1014" s="2" t="s">
        <v>23</v>
      </c>
      <c r="F1014" s="3">
        <f>+5491140961876</f>
        <v>5491140961876</v>
      </c>
      <c r="G1014" s="2" t="s">
        <v>4307</v>
      </c>
      <c r="H1014" s="2" t="s">
        <v>25</v>
      </c>
      <c r="I1014" s="2" t="s">
        <v>309</v>
      </c>
      <c r="J1014" s="2" t="s">
        <v>309</v>
      </c>
      <c r="K1014" s="4">
        <v>46125.0</v>
      </c>
      <c r="L1014" s="2" t="s">
        <v>4308</v>
      </c>
    </row>
    <row r="1015">
      <c r="A1015" s="2" t="s">
        <v>4309</v>
      </c>
      <c r="B1015" s="2" t="s">
        <v>4310</v>
      </c>
      <c r="C1015" s="2" t="s">
        <v>185</v>
      </c>
      <c r="D1015" s="2" t="s">
        <v>15</v>
      </c>
      <c r="E1015" s="2" t="s">
        <v>16</v>
      </c>
      <c r="F1015" s="3">
        <f>+5491136095234</f>
        <v>5491136095234</v>
      </c>
      <c r="G1015" s="2" t="s">
        <v>4311</v>
      </c>
      <c r="H1015" s="2" t="s">
        <v>32</v>
      </c>
      <c r="I1015" s="2" t="s">
        <v>25</v>
      </c>
      <c r="J1015" s="2" t="s">
        <v>792</v>
      </c>
      <c r="K1015" s="4">
        <v>46125.0</v>
      </c>
      <c r="L1015" s="2" t="s">
        <v>4312</v>
      </c>
    </row>
    <row r="1016">
      <c r="A1016" s="2" t="s">
        <v>4313</v>
      </c>
      <c r="B1016" s="2" t="s">
        <v>4314</v>
      </c>
      <c r="C1016" s="2" t="s">
        <v>14</v>
      </c>
      <c r="D1016" s="2" t="s">
        <v>15</v>
      </c>
      <c r="E1016" s="2" t="s">
        <v>23</v>
      </c>
      <c r="F1016" s="3">
        <f>+5493815446169</f>
        <v>5493815446169</v>
      </c>
      <c r="G1016" s="2" t="s">
        <v>4315</v>
      </c>
      <c r="H1016" s="2" t="s">
        <v>55</v>
      </c>
      <c r="I1016" s="2" t="s">
        <v>883</v>
      </c>
      <c r="J1016" s="2" t="s">
        <v>1484</v>
      </c>
      <c r="K1016" s="4">
        <v>46125.0</v>
      </c>
      <c r="L1016" s="2" t="s">
        <v>4316</v>
      </c>
    </row>
    <row r="1017">
      <c r="A1017" s="2" t="s">
        <v>4317</v>
      </c>
      <c r="B1017" s="2" t="s">
        <v>4318</v>
      </c>
      <c r="C1017" s="2" t="s">
        <v>14</v>
      </c>
      <c r="D1017" s="2" t="s">
        <v>15</v>
      </c>
      <c r="E1017" s="2" t="s">
        <v>16</v>
      </c>
      <c r="F1017" s="3">
        <f>+5491132027913</f>
        <v>5491132027913</v>
      </c>
      <c r="G1017" s="2" t="s">
        <v>4319</v>
      </c>
      <c r="H1017" s="2" t="s">
        <v>25</v>
      </c>
      <c r="I1017" s="2" t="s">
        <v>84</v>
      </c>
      <c r="J1017" s="2" t="s">
        <v>2369</v>
      </c>
      <c r="K1017" s="4">
        <v>46125.0</v>
      </c>
      <c r="L1017" s="2" t="s">
        <v>4320</v>
      </c>
    </row>
    <row r="1018">
      <c r="A1018" s="2" t="s">
        <v>4321</v>
      </c>
      <c r="B1018" s="2" t="s">
        <v>4322</v>
      </c>
      <c r="C1018" s="2" t="s">
        <v>14</v>
      </c>
      <c r="D1018" s="2" t="s">
        <v>15</v>
      </c>
      <c r="E1018" s="2" t="s">
        <v>23</v>
      </c>
      <c r="F1018" s="3">
        <f>+5491169489354</f>
        <v>5491169489354</v>
      </c>
      <c r="G1018" s="2" t="s">
        <v>4323</v>
      </c>
      <c r="H1018" s="2" t="s">
        <v>25</v>
      </c>
      <c r="I1018" s="2" t="s">
        <v>230</v>
      </c>
      <c r="J1018" s="2" t="s">
        <v>231</v>
      </c>
      <c r="K1018" s="4">
        <v>46125.0</v>
      </c>
      <c r="L1018" s="2" t="s">
        <v>4324</v>
      </c>
    </row>
    <row r="1019">
      <c r="A1019" s="2" t="s">
        <v>4325</v>
      </c>
      <c r="B1019" s="2" t="s">
        <v>4326</v>
      </c>
      <c r="C1019" s="2" t="s">
        <v>14</v>
      </c>
      <c r="D1019" s="2" t="s">
        <v>15</v>
      </c>
      <c r="E1019" s="2" t="s">
        <v>16</v>
      </c>
      <c r="F1019" s="3">
        <f>+5491128992742</f>
        <v>5491128992742</v>
      </c>
      <c r="G1019" s="2" t="s">
        <v>4327</v>
      </c>
      <c r="H1019" s="2" t="s">
        <v>32</v>
      </c>
      <c r="I1019" s="2" t="s">
        <v>25</v>
      </c>
      <c r="J1019" s="2" t="s">
        <v>792</v>
      </c>
      <c r="K1019" s="4">
        <v>46125.0</v>
      </c>
      <c r="L1019" s="2" t="s">
        <v>4328</v>
      </c>
    </row>
    <row r="1020">
      <c r="A1020" s="2" t="s">
        <v>4329</v>
      </c>
      <c r="B1020" s="2" t="s">
        <v>4330</v>
      </c>
      <c r="C1020" s="2" t="s">
        <v>14</v>
      </c>
      <c r="D1020" s="2" t="s">
        <v>15</v>
      </c>
      <c r="E1020" s="2" t="s">
        <v>16</v>
      </c>
      <c r="F1020" s="3">
        <f>+5491162121904</f>
        <v>5491162121904</v>
      </c>
      <c r="G1020" s="2" t="s">
        <v>4177</v>
      </c>
      <c r="H1020" s="2" t="s">
        <v>32</v>
      </c>
      <c r="I1020" s="2" t="s">
        <v>25</v>
      </c>
      <c r="J1020" s="2" t="s">
        <v>759</v>
      </c>
      <c r="K1020" s="4">
        <v>46125.0</v>
      </c>
      <c r="L1020" s="2" t="s">
        <v>4178</v>
      </c>
    </row>
    <row r="1021">
      <c r="A1021" s="2" t="s">
        <v>4331</v>
      </c>
      <c r="B1021" s="2" t="s">
        <v>4332</v>
      </c>
      <c r="C1021" s="2" t="s">
        <v>14</v>
      </c>
      <c r="D1021" s="2" t="s">
        <v>15</v>
      </c>
      <c r="E1021" s="2" t="s">
        <v>23</v>
      </c>
      <c r="F1021" s="3">
        <f>+5491155623775</f>
        <v>5491155623775</v>
      </c>
      <c r="G1021" s="2" t="s">
        <v>4333</v>
      </c>
      <c r="H1021" s="2" t="s">
        <v>25</v>
      </c>
      <c r="I1021" s="2" t="s">
        <v>118</v>
      </c>
      <c r="J1021" s="2" t="s">
        <v>640</v>
      </c>
      <c r="K1021" s="4">
        <v>46125.0</v>
      </c>
      <c r="L1021" s="2" t="s">
        <v>4334</v>
      </c>
    </row>
    <row r="1022">
      <c r="A1022" s="2" t="s">
        <v>4335</v>
      </c>
      <c r="B1022" s="2" t="s">
        <v>4336</v>
      </c>
      <c r="C1022" s="2" t="s">
        <v>14</v>
      </c>
      <c r="D1022" s="2" t="s">
        <v>15</v>
      </c>
      <c r="E1022" s="2" t="s">
        <v>23</v>
      </c>
      <c r="F1022" s="3">
        <f>+5491126987771</f>
        <v>5491126987771</v>
      </c>
      <c r="G1022" s="2" t="s">
        <v>4337</v>
      </c>
      <c r="H1022" s="2" t="s">
        <v>25</v>
      </c>
      <c r="I1022" s="2" t="s">
        <v>38</v>
      </c>
      <c r="J1022" s="2" t="s">
        <v>103</v>
      </c>
      <c r="K1022" s="4">
        <v>46125.0</v>
      </c>
      <c r="L1022" s="2" t="s">
        <v>4338</v>
      </c>
    </row>
    <row r="1023">
      <c r="A1023" s="2" t="s">
        <v>4339</v>
      </c>
      <c r="B1023" s="2" t="s">
        <v>4340</v>
      </c>
      <c r="C1023" s="2" t="s">
        <v>14</v>
      </c>
      <c r="D1023" s="2" t="s">
        <v>15</v>
      </c>
      <c r="E1023" s="2" t="s">
        <v>23</v>
      </c>
      <c r="F1023" s="3">
        <f>+5492616099916</f>
        <v>5492616099916</v>
      </c>
      <c r="G1023" s="2" t="s">
        <v>4341</v>
      </c>
      <c r="H1023" s="2" t="s">
        <v>71</v>
      </c>
      <c r="I1023" s="2" t="s">
        <v>902</v>
      </c>
      <c r="J1023" s="2" t="s">
        <v>1032</v>
      </c>
      <c r="K1023" s="4">
        <v>46125.0</v>
      </c>
      <c r="L1023" s="2" t="s">
        <v>4342</v>
      </c>
    </row>
    <row r="1024">
      <c r="A1024" s="2" t="s">
        <v>4343</v>
      </c>
      <c r="B1024" s="2" t="s">
        <v>4344</v>
      </c>
      <c r="C1024" s="2" t="s">
        <v>14</v>
      </c>
      <c r="D1024" s="2" t="s">
        <v>15</v>
      </c>
      <c r="E1024" s="2" t="s">
        <v>23</v>
      </c>
      <c r="F1024" s="3">
        <f>+5491157038270</f>
        <v>5491157038270</v>
      </c>
      <c r="G1024" s="2" t="s">
        <v>4345</v>
      </c>
      <c r="H1024" s="2" t="s">
        <v>25</v>
      </c>
      <c r="I1024" s="2" t="s">
        <v>1920</v>
      </c>
      <c r="J1024" s="2" t="s">
        <v>1920</v>
      </c>
      <c r="K1024" s="4">
        <v>46125.0</v>
      </c>
      <c r="L1024" s="2" t="s">
        <v>4346</v>
      </c>
    </row>
    <row r="1025">
      <c r="A1025" s="2" t="s">
        <v>4347</v>
      </c>
      <c r="B1025" s="2" t="s">
        <v>4348</v>
      </c>
      <c r="C1025" s="2" t="s">
        <v>14</v>
      </c>
      <c r="D1025" s="2" t="s">
        <v>15</v>
      </c>
      <c r="E1025" s="2" t="s">
        <v>23</v>
      </c>
      <c r="F1025" s="3">
        <f>+5491158839869</f>
        <v>5491158839869</v>
      </c>
      <c r="G1025" s="2" t="s">
        <v>4349</v>
      </c>
      <c r="H1025" s="2" t="s">
        <v>32</v>
      </c>
      <c r="I1025" s="2" t="s">
        <v>25</v>
      </c>
      <c r="J1025" s="2" t="s">
        <v>1444</v>
      </c>
      <c r="K1025" s="4">
        <v>46125.0</v>
      </c>
      <c r="L1025" s="2" t="s">
        <v>4350</v>
      </c>
    </row>
    <row r="1026">
      <c r="A1026" s="2" t="s">
        <v>4351</v>
      </c>
      <c r="B1026" s="2" t="s">
        <v>4352</v>
      </c>
      <c r="C1026" s="2" t="s">
        <v>14</v>
      </c>
      <c r="D1026" s="2" t="s">
        <v>15</v>
      </c>
      <c r="E1026" s="2" t="s">
        <v>23</v>
      </c>
      <c r="F1026" s="3">
        <f>+5491162782020</f>
        <v>5491162782020</v>
      </c>
      <c r="G1026" s="2" t="s">
        <v>4353</v>
      </c>
      <c r="H1026" s="2" t="s">
        <v>25</v>
      </c>
      <c r="I1026" s="2" t="s">
        <v>486</v>
      </c>
      <c r="J1026" s="2" t="s">
        <v>1934</v>
      </c>
      <c r="K1026" s="4">
        <v>46125.0</v>
      </c>
      <c r="L1026" s="2" t="s">
        <v>4354</v>
      </c>
    </row>
    <row r="1027">
      <c r="A1027" s="2" t="s">
        <v>4355</v>
      </c>
      <c r="B1027" s="2" t="s">
        <v>4356</v>
      </c>
      <c r="C1027" s="2" t="s">
        <v>14</v>
      </c>
      <c r="D1027" s="2" t="s">
        <v>15</v>
      </c>
      <c r="E1027" s="2" t="s">
        <v>23</v>
      </c>
      <c r="F1027" s="3">
        <f>+5491127180311</f>
        <v>5491127180311</v>
      </c>
      <c r="G1027" s="2" t="s">
        <v>4357</v>
      </c>
      <c r="H1027" s="2" t="s">
        <v>25</v>
      </c>
      <c r="I1027" s="2" t="s">
        <v>1349</v>
      </c>
      <c r="J1027" s="2" t="s">
        <v>2190</v>
      </c>
      <c r="K1027" s="4">
        <v>46125.0</v>
      </c>
      <c r="L1027" s="2" t="s">
        <v>4358</v>
      </c>
    </row>
    <row r="1028">
      <c r="A1028" s="2" t="s">
        <v>4359</v>
      </c>
      <c r="B1028" s="2" t="s">
        <v>4360</v>
      </c>
      <c r="C1028" s="2" t="s">
        <v>14</v>
      </c>
      <c r="D1028" s="2" t="s">
        <v>15</v>
      </c>
      <c r="E1028" s="2" t="s">
        <v>23</v>
      </c>
      <c r="F1028" s="3">
        <f>+5491169762478</f>
        <v>5491169762478</v>
      </c>
      <c r="G1028" s="2" t="s">
        <v>4361</v>
      </c>
      <c r="H1028" s="2" t="s">
        <v>25</v>
      </c>
      <c r="I1028" s="2" t="s">
        <v>241</v>
      </c>
      <c r="J1028" s="2" t="s">
        <v>241</v>
      </c>
      <c r="K1028" s="4">
        <v>46125.0</v>
      </c>
      <c r="L1028" s="2" t="s">
        <v>4362</v>
      </c>
    </row>
    <row r="1029">
      <c r="A1029" s="2" t="s">
        <v>4363</v>
      </c>
      <c r="B1029" s="2" t="s">
        <v>4364</v>
      </c>
      <c r="C1029" s="2" t="s">
        <v>14</v>
      </c>
      <c r="D1029" s="2" t="s">
        <v>15</v>
      </c>
      <c r="E1029" s="2" t="s">
        <v>23</v>
      </c>
      <c r="F1029" s="3">
        <f>+5491144392162</f>
        <v>5491144392162</v>
      </c>
      <c r="G1029" s="2" t="s">
        <v>4365</v>
      </c>
      <c r="H1029" s="2" t="s">
        <v>25</v>
      </c>
      <c r="I1029" s="2" t="s">
        <v>78</v>
      </c>
      <c r="J1029" s="2" t="s">
        <v>78</v>
      </c>
      <c r="K1029" s="4">
        <v>46125.0</v>
      </c>
      <c r="L1029" s="2" t="s">
        <v>4366</v>
      </c>
    </row>
    <row r="1030">
      <c r="A1030" s="2" t="s">
        <v>4367</v>
      </c>
      <c r="B1030" s="2" t="s">
        <v>4368</v>
      </c>
      <c r="C1030" s="2" t="s">
        <v>14</v>
      </c>
      <c r="D1030" s="2" t="s">
        <v>15</v>
      </c>
      <c r="E1030" s="2" t="s">
        <v>23</v>
      </c>
      <c r="F1030" s="3">
        <f>+5493484315272</f>
        <v>5493484315272</v>
      </c>
      <c r="G1030" s="2" t="s">
        <v>4369</v>
      </c>
      <c r="H1030" s="2" t="s">
        <v>25</v>
      </c>
      <c r="I1030" s="2" t="s">
        <v>38</v>
      </c>
      <c r="J1030" s="2" t="s">
        <v>103</v>
      </c>
      <c r="K1030" s="4">
        <v>46125.0</v>
      </c>
      <c r="L1030" s="2" t="s">
        <v>4370</v>
      </c>
    </row>
    <row r="1031">
      <c r="A1031" s="2" t="s">
        <v>4371</v>
      </c>
      <c r="B1031" s="2" t="s">
        <v>4372</v>
      </c>
      <c r="C1031" s="2" t="s">
        <v>14</v>
      </c>
      <c r="D1031" s="2" t="s">
        <v>15</v>
      </c>
      <c r="E1031" s="2" t="s">
        <v>23</v>
      </c>
      <c r="F1031" s="3">
        <f>+5491127850787</f>
        <v>5491127850787</v>
      </c>
      <c r="G1031" s="2" t="s">
        <v>4373</v>
      </c>
      <c r="H1031" s="2" t="s">
        <v>25</v>
      </c>
      <c r="I1031" s="2" t="s">
        <v>97</v>
      </c>
      <c r="J1031" s="2" t="s">
        <v>98</v>
      </c>
      <c r="K1031" s="4">
        <v>46125.0</v>
      </c>
      <c r="L1031" s="2" t="s">
        <v>4374</v>
      </c>
    </row>
    <row r="1032">
      <c r="A1032" s="2" t="s">
        <v>4375</v>
      </c>
      <c r="B1032" s="2" t="s">
        <v>4376</v>
      </c>
      <c r="C1032" s="2" t="s">
        <v>14</v>
      </c>
      <c r="D1032" s="2" t="s">
        <v>15</v>
      </c>
      <c r="E1032" s="2" t="s">
        <v>23</v>
      </c>
      <c r="F1032" s="3">
        <f>+5491131291747</f>
        <v>5491131291747</v>
      </c>
      <c r="G1032" s="2" t="s">
        <v>4377</v>
      </c>
      <c r="H1032" s="2" t="s">
        <v>25</v>
      </c>
      <c r="I1032" s="2" t="s">
        <v>236</v>
      </c>
      <c r="J1032" s="2" t="s">
        <v>236</v>
      </c>
      <c r="K1032" s="4">
        <v>46125.0</v>
      </c>
      <c r="L1032" s="2" t="s">
        <v>4378</v>
      </c>
    </row>
    <row r="1033">
      <c r="A1033" s="2" t="s">
        <v>4379</v>
      </c>
      <c r="B1033" s="2" t="s">
        <v>4380</v>
      </c>
      <c r="C1033" s="2" t="s">
        <v>14</v>
      </c>
      <c r="D1033" s="2" t="s">
        <v>15</v>
      </c>
      <c r="E1033" s="2" t="s">
        <v>23</v>
      </c>
      <c r="F1033" s="3">
        <f>+5491176003804</f>
        <v>5491176003804</v>
      </c>
      <c r="G1033" s="2" t="s">
        <v>4381</v>
      </c>
      <c r="H1033" s="2" t="s">
        <v>25</v>
      </c>
      <c r="I1033" s="2" t="s">
        <v>246</v>
      </c>
      <c r="J1033" s="2" t="s">
        <v>4382</v>
      </c>
      <c r="K1033" s="4">
        <v>46125.0</v>
      </c>
      <c r="L1033" s="2" t="s">
        <v>4383</v>
      </c>
    </row>
    <row r="1034">
      <c r="A1034" s="2" t="s">
        <v>4384</v>
      </c>
      <c r="B1034" s="2" t="s">
        <v>4385</v>
      </c>
      <c r="C1034" s="2" t="s">
        <v>14</v>
      </c>
      <c r="D1034" s="2" t="s">
        <v>15</v>
      </c>
      <c r="E1034" s="2" t="s">
        <v>23</v>
      </c>
      <c r="F1034" s="3">
        <f>+5492616555465</f>
        <v>5492616555465</v>
      </c>
      <c r="G1034" s="2" t="s">
        <v>4386</v>
      </c>
      <c r="H1034" s="2" t="s">
        <v>71</v>
      </c>
      <c r="I1034" s="2" t="s">
        <v>72</v>
      </c>
      <c r="J1034" s="2" t="s">
        <v>4387</v>
      </c>
      <c r="K1034" s="4">
        <v>46125.0</v>
      </c>
      <c r="L1034" s="2" t="s">
        <v>4388</v>
      </c>
    </row>
    <row r="1035">
      <c r="A1035" s="2" t="s">
        <v>4389</v>
      </c>
      <c r="B1035" s="2" t="s">
        <v>4390</v>
      </c>
      <c r="C1035" s="2" t="s">
        <v>14</v>
      </c>
      <c r="D1035" s="2" t="s">
        <v>15</v>
      </c>
      <c r="E1035" s="2" t="s">
        <v>16</v>
      </c>
      <c r="F1035" s="3">
        <f>+5492234798281</f>
        <v>5492234798281</v>
      </c>
      <c r="G1035" s="2" t="s">
        <v>4391</v>
      </c>
      <c r="H1035" s="2" t="s">
        <v>25</v>
      </c>
      <c r="I1035" s="2" t="s">
        <v>649</v>
      </c>
      <c r="J1035" s="2" t="s">
        <v>734</v>
      </c>
      <c r="K1035" s="4">
        <v>46125.0</v>
      </c>
      <c r="L1035" s="2" t="s">
        <v>4392</v>
      </c>
    </row>
    <row r="1036">
      <c r="A1036" s="2" t="s">
        <v>4393</v>
      </c>
      <c r="B1036" s="2" t="s">
        <v>4394</v>
      </c>
      <c r="C1036" s="2" t="s">
        <v>14</v>
      </c>
      <c r="D1036" s="2" t="s">
        <v>15</v>
      </c>
      <c r="E1036" s="2" t="s">
        <v>23</v>
      </c>
      <c r="F1036" s="3">
        <f>+5491157614976</f>
        <v>5491157614976</v>
      </c>
      <c r="G1036" s="2" t="s">
        <v>4395</v>
      </c>
      <c r="H1036" s="2" t="s">
        <v>32</v>
      </c>
      <c r="I1036" s="2" t="s">
        <v>25</v>
      </c>
      <c r="J1036" s="2" t="s">
        <v>874</v>
      </c>
      <c r="K1036" s="4">
        <v>46124.0</v>
      </c>
      <c r="L1036" s="2" t="s">
        <v>4396</v>
      </c>
    </row>
    <row r="1037">
      <c r="A1037" s="2" t="s">
        <v>4397</v>
      </c>
      <c r="B1037" s="2" t="s">
        <v>4398</v>
      </c>
      <c r="C1037" s="2" t="s">
        <v>14</v>
      </c>
      <c r="D1037" s="2" t="s">
        <v>15</v>
      </c>
      <c r="E1037" s="2" t="s">
        <v>23</v>
      </c>
      <c r="F1037" s="3">
        <f>+541158897217</f>
        <v>541158897217</v>
      </c>
      <c r="G1037" s="2" t="s">
        <v>4399</v>
      </c>
      <c r="H1037" s="2" t="s">
        <v>25</v>
      </c>
      <c r="I1037" s="2" t="s">
        <v>84</v>
      </c>
      <c r="J1037" s="2" t="s">
        <v>84</v>
      </c>
      <c r="K1037" s="4">
        <v>46124.0</v>
      </c>
      <c r="L1037" s="2" t="s">
        <v>4400</v>
      </c>
    </row>
    <row r="1038">
      <c r="A1038" s="2" t="s">
        <v>4401</v>
      </c>
      <c r="B1038" s="2" t="s">
        <v>4402</v>
      </c>
      <c r="C1038" s="2" t="s">
        <v>14</v>
      </c>
      <c r="D1038" s="2" t="s">
        <v>15</v>
      </c>
      <c r="E1038" s="2" t="s">
        <v>23</v>
      </c>
      <c r="F1038" s="3">
        <f>+5492612630999</f>
        <v>5492612630999</v>
      </c>
      <c r="G1038" s="2" t="s">
        <v>4403</v>
      </c>
      <c r="H1038" s="2" t="s">
        <v>71</v>
      </c>
      <c r="I1038" s="2" t="s">
        <v>71</v>
      </c>
      <c r="J1038" s="2" t="s">
        <v>1014</v>
      </c>
      <c r="K1038" s="4">
        <v>46124.0</v>
      </c>
      <c r="L1038" s="2" t="s">
        <v>4404</v>
      </c>
    </row>
    <row r="1039">
      <c r="A1039" s="2" t="s">
        <v>4405</v>
      </c>
      <c r="B1039" s="2" t="s">
        <v>4406</v>
      </c>
      <c r="C1039" s="2" t="s">
        <v>14</v>
      </c>
      <c r="D1039" s="2" t="s">
        <v>15</v>
      </c>
      <c r="E1039" s="2" t="s">
        <v>23</v>
      </c>
      <c r="F1039" s="3">
        <f>+5491158897215</f>
        <v>5491158897215</v>
      </c>
      <c r="G1039" s="2" t="s">
        <v>4407</v>
      </c>
      <c r="H1039" s="2" t="s">
        <v>25</v>
      </c>
      <c r="I1039" s="2" t="s">
        <v>314</v>
      </c>
      <c r="J1039" s="2" t="s">
        <v>912</v>
      </c>
      <c r="K1039" s="4">
        <v>46124.0</v>
      </c>
      <c r="L1039" s="2" t="s">
        <v>4408</v>
      </c>
    </row>
    <row r="1040">
      <c r="A1040" s="2" t="s">
        <v>4409</v>
      </c>
      <c r="B1040" s="2" t="s">
        <v>4410</v>
      </c>
      <c r="C1040" s="2" t="s">
        <v>14</v>
      </c>
      <c r="D1040" s="2" t="s">
        <v>15</v>
      </c>
      <c r="E1040" s="2" t="s">
        <v>23</v>
      </c>
      <c r="F1040" s="3">
        <f>+5491173739610</f>
        <v>5491173739610</v>
      </c>
      <c r="G1040" s="2" t="s">
        <v>4411</v>
      </c>
      <c r="H1040" s="2" t="s">
        <v>25</v>
      </c>
      <c r="I1040" s="2" t="s">
        <v>481</v>
      </c>
      <c r="J1040" s="2" t="s">
        <v>481</v>
      </c>
      <c r="K1040" s="4">
        <v>46124.0</v>
      </c>
      <c r="L1040" s="2" t="s">
        <v>4412</v>
      </c>
    </row>
    <row r="1041">
      <c r="A1041" s="2" t="s">
        <v>4413</v>
      </c>
      <c r="B1041" s="2" t="s">
        <v>4414</v>
      </c>
      <c r="C1041" s="2" t="s">
        <v>14</v>
      </c>
      <c r="D1041" s="2" t="s">
        <v>15</v>
      </c>
      <c r="E1041" s="2" t="s">
        <v>23</v>
      </c>
      <c r="F1041" s="3">
        <f>+5491154737679</f>
        <v>5491154737679</v>
      </c>
      <c r="G1041" s="2" t="s">
        <v>4415</v>
      </c>
      <c r="H1041" s="2" t="s">
        <v>32</v>
      </c>
      <c r="I1041" s="2" t="s">
        <v>25</v>
      </c>
      <c r="J1041" s="2" t="s">
        <v>2044</v>
      </c>
      <c r="K1041" s="4">
        <v>46123.0</v>
      </c>
      <c r="L1041" s="2" t="s">
        <v>4416</v>
      </c>
    </row>
    <row r="1042">
      <c r="A1042" s="2" t="s">
        <v>4417</v>
      </c>
      <c r="B1042" s="2" t="s">
        <v>4418</v>
      </c>
      <c r="C1042" s="2" t="s">
        <v>14</v>
      </c>
      <c r="D1042" s="2" t="s">
        <v>15</v>
      </c>
      <c r="E1042" s="2" t="s">
        <v>16</v>
      </c>
      <c r="F1042" s="3">
        <f>+5491128775769</f>
        <v>5491128775769</v>
      </c>
      <c r="G1042" s="2" t="s">
        <v>4419</v>
      </c>
      <c r="H1042" s="2" t="s">
        <v>25</v>
      </c>
      <c r="I1042" s="2" t="s">
        <v>49</v>
      </c>
      <c r="J1042" s="2" t="s">
        <v>178</v>
      </c>
      <c r="K1042" s="4">
        <v>46123.0</v>
      </c>
      <c r="L1042" s="2" t="s">
        <v>4420</v>
      </c>
    </row>
    <row r="1043">
      <c r="A1043" s="2" t="s">
        <v>4421</v>
      </c>
      <c r="B1043" s="2" t="s">
        <v>4422</v>
      </c>
      <c r="C1043" s="2" t="s">
        <v>14</v>
      </c>
      <c r="D1043" s="2" t="s">
        <v>15</v>
      </c>
      <c r="E1043" s="2" t="s">
        <v>23</v>
      </c>
      <c r="F1043" s="3">
        <f>+541164541579</f>
        <v>541164541579</v>
      </c>
      <c r="G1043" s="2" t="s">
        <v>4423</v>
      </c>
      <c r="H1043" s="2" t="s">
        <v>25</v>
      </c>
      <c r="I1043" s="2" t="s">
        <v>314</v>
      </c>
      <c r="J1043" s="2" t="s">
        <v>2522</v>
      </c>
      <c r="K1043" s="4">
        <v>46123.0</v>
      </c>
      <c r="L1043" s="2" t="s">
        <v>4424</v>
      </c>
    </row>
    <row r="1044">
      <c r="A1044" s="2" t="s">
        <v>4425</v>
      </c>
      <c r="B1044" s="2" t="s">
        <v>4426</v>
      </c>
      <c r="C1044" s="2" t="s">
        <v>14</v>
      </c>
      <c r="D1044" s="2" t="s">
        <v>15</v>
      </c>
      <c r="E1044" s="2" t="s">
        <v>23</v>
      </c>
      <c r="F1044" s="3">
        <f>+5491125910262</f>
        <v>5491125910262</v>
      </c>
      <c r="G1044" s="2" t="s">
        <v>4427</v>
      </c>
      <c r="H1044" s="2" t="s">
        <v>25</v>
      </c>
      <c r="I1044" s="2" t="s">
        <v>957</v>
      </c>
      <c r="J1044" s="2" t="s">
        <v>957</v>
      </c>
      <c r="K1044" s="4">
        <v>46123.0</v>
      </c>
      <c r="L1044" s="2" t="s">
        <v>4428</v>
      </c>
    </row>
    <row r="1045">
      <c r="A1045" s="2" t="s">
        <v>4429</v>
      </c>
      <c r="B1045" s="2" t="s">
        <v>4430</v>
      </c>
      <c r="C1045" s="2" t="s">
        <v>14</v>
      </c>
      <c r="D1045" s="2" t="s">
        <v>15</v>
      </c>
      <c r="E1045" s="2" t="s">
        <v>23</v>
      </c>
      <c r="F1045" s="3">
        <f>+5493541600887</f>
        <v>5493541600887</v>
      </c>
      <c r="G1045" s="2" t="s">
        <v>4431</v>
      </c>
      <c r="H1045" s="2" t="s">
        <v>18</v>
      </c>
      <c r="I1045" s="2" t="s">
        <v>535</v>
      </c>
      <c r="J1045" s="2" t="s">
        <v>564</v>
      </c>
      <c r="K1045" s="4">
        <v>46123.0</v>
      </c>
      <c r="L1045" s="2" t="s">
        <v>4432</v>
      </c>
    </row>
    <row r="1046">
      <c r="A1046" s="2" t="s">
        <v>4433</v>
      </c>
      <c r="B1046" s="2" t="s">
        <v>4434</v>
      </c>
      <c r="C1046" s="2" t="s">
        <v>14</v>
      </c>
      <c r="D1046" s="2" t="s">
        <v>15</v>
      </c>
      <c r="E1046" s="2" t="s">
        <v>23</v>
      </c>
      <c r="F1046" s="3">
        <f>+5492235925086</f>
        <v>5492235925086</v>
      </c>
      <c r="G1046" s="2" t="s">
        <v>4435</v>
      </c>
      <c r="H1046" s="2" t="s">
        <v>25</v>
      </c>
      <c r="I1046" s="2" t="s">
        <v>649</v>
      </c>
      <c r="J1046" s="2" t="s">
        <v>1174</v>
      </c>
      <c r="K1046" s="4">
        <v>46123.0</v>
      </c>
      <c r="L1046" s="2" t="s">
        <v>4436</v>
      </c>
    </row>
    <row r="1047">
      <c r="A1047" s="2" t="s">
        <v>4437</v>
      </c>
      <c r="B1047" s="2" t="s">
        <v>4438</v>
      </c>
      <c r="C1047" s="2" t="s">
        <v>14</v>
      </c>
      <c r="D1047" s="2" t="s">
        <v>15</v>
      </c>
      <c r="E1047" s="2" t="s">
        <v>23</v>
      </c>
      <c r="F1047" s="3">
        <f>+541176375498</f>
        <v>541176375498</v>
      </c>
      <c r="G1047" s="2" t="s">
        <v>4439</v>
      </c>
      <c r="H1047" s="2" t="s">
        <v>25</v>
      </c>
      <c r="I1047" s="2" t="s">
        <v>118</v>
      </c>
      <c r="J1047" s="2" t="s">
        <v>124</v>
      </c>
      <c r="K1047" s="4">
        <v>46123.0</v>
      </c>
      <c r="L1047" s="2" t="s">
        <v>4440</v>
      </c>
    </row>
    <row r="1048">
      <c r="A1048" s="2" t="s">
        <v>4441</v>
      </c>
      <c r="B1048" s="2" t="s">
        <v>4442</v>
      </c>
      <c r="C1048" s="2" t="s">
        <v>185</v>
      </c>
      <c r="D1048" s="2" t="s">
        <v>15</v>
      </c>
      <c r="E1048" s="2" t="s">
        <v>23</v>
      </c>
      <c r="F1048" s="3">
        <f>+5492513042631</f>
        <v>5492513042631</v>
      </c>
      <c r="G1048" s="2" t="s">
        <v>4443</v>
      </c>
      <c r="H1048" s="2" t="s">
        <v>71</v>
      </c>
      <c r="I1048" s="2" t="s">
        <v>1625</v>
      </c>
      <c r="J1048" s="2" t="s">
        <v>2160</v>
      </c>
      <c r="K1048" s="4">
        <v>46123.0</v>
      </c>
      <c r="L1048" s="2" t="s">
        <v>4444</v>
      </c>
    </row>
    <row r="1049">
      <c r="A1049" s="2" t="s">
        <v>4445</v>
      </c>
      <c r="B1049" s="2" t="s">
        <v>4446</v>
      </c>
      <c r="C1049" s="2" t="s">
        <v>14</v>
      </c>
      <c r="D1049" s="2" t="s">
        <v>15</v>
      </c>
      <c r="E1049" s="2" t="s">
        <v>23</v>
      </c>
      <c r="F1049" s="3">
        <f>+5491146324562</f>
        <v>5491146324562</v>
      </c>
      <c r="G1049" s="2" t="s">
        <v>4447</v>
      </c>
      <c r="H1049" s="2" t="s">
        <v>25</v>
      </c>
      <c r="I1049" s="2" t="s">
        <v>1920</v>
      </c>
      <c r="J1049" s="2" t="s">
        <v>1920</v>
      </c>
      <c r="K1049" s="4">
        <v>46122.0</v>
      </c>
      <c r="L1049" s="2" t="s">
        <v>4448</v>
      </c>
    </row>
    <row r="1050">
      <c r="A1050" s="2" t="s">
        <v>4449</v>
      </c>
      <c r="B1050" s="2" t="s">
        <v>4450</v>
      </c>
      <c r="C1050" s="2" t="s">
        <v>14</v>
      </c>
      <c r="D1050" s="2" t="s">
        <v>15</v>
      </c>
      <c r="E1050" s="2" t="s">
        <v>23</v>
      </c>
      <c r="F1050" s="3">
        <f>+5492213640666</f>
        <v>5492213640666</v>
      </c>
      <c r="G1050" s="2" t="s">
        <v>4451</v>
      </c>
      <c r="H1050" s="2" t="s">
        <v>25</v>
      </c>
      <c r="I1050" s="2" t="s">
        <v>44</v>
      </c>
      <c r="J1050" s="2" t="s">
        <v>44</v>
      </c>
      <c r="K1050" s="4">
        <v>46122.0</v>
      </c>
      <c r="L1050" s="2" t="s">
        <v>4452</v>
      </c>
    </row>
    <row r="1051">
      <c r="A1051" s="2" t="s">
        <v>4453</v>
      </c>
      <c r="B1051" s="2" t="s">
        <v>4454</v>
      </c>
      <c r="C1051" s="2" t="s">
        <v>14</v>
      </c>
      <c r="D1051" s="2" t="s">
        <v>15</v>
      </c>
      <c r="E1051" s="2" t="s">
        <v>23</v>
      </c>
      <c r="F1051" s="3">
        <f>+5491157477880</f>
        <v>5491157477880</v>
      </c>
      <c r="G1051" s="2" t="s">
        <v>4455</v>
      </c>
      <c r="H1051" s="2" t="s">
        <v>25</v>
      </c>
      <c r="I1051" s="2" t="s">
        <v>230</v>
      </c>
      <c r="J1051" s="2" t="s">
        <v>231</v>
      </c>
      <c r="K1051" s="4">
        <v>46122.0</v>
      </c>
      <c r="L1051" s="2" t="s">
        <v>4456</v>
      </c>
    </row>
    <row r="1052">
      <c r="A1052" s="2" t="s">
        <v>4457</v>
      </c>
      <c r="B1052" s="2" t="s">
        <v>4458</v>
      </c>
      <c r="C1052" s="2" t="s">
        <v>14</v>
      </c>
      <c r="D1052" s="2" t="s">
        <v>15</v>
      </c>
      <c r="E1052" s="2" t="s">
        <v>23</v>
      </c>
      <c r="F1052" s="3">
        <f>+5492236027055</f>
        <v>5492236027055</v>
      </c>
      <c r="G1052" s="2" t="s">
        <v>4459</v>
      </c>
      <c r="H1052" s="2" t="s">
        <v>25</v>
      </c>
      <c r="I1052" s="2" t="s">
        <v>649</v>
      </c>
      <c r="J1052" s="2" t="s">
        <v>1174</v>
      </c>
      <c r="K1052" s="4">
        <v>46122.0</v>
      </c>
      <c r="L1052" s="2" t="s">
        <v>4460</v>
      </c>
    </row>
    <row r="1053">
      <c r="A1053" s="2" t="s">
        <v>4461</v>
      </c>
      <c r="B1053" s="2" t="s">
        <v>4462</v>
      </c>
      <c r="C1053" s="2" t="s">
        <v>14</v>
      </c>
      <c r="D1053" s="2" t="s">
        <v>15</v>
      </c>
      <c r="E1053" s="2" t="s">
        <v>23</v>
      </c>
      <c r="F1053" s="3">
        <f>+5492944832282</f>
        <v>5492944832282</v>
      </c>
      <c r="G1053" s="2" t="s">
        <v>4463</v>
      </c>
      <c r="H1053" s="2" t="s">
        <v>25</v>
      </c>
      <c r="I1053" s="2" t="s">
        <v>486</v>
      </c>
      <c r="J1053" s="2" t="s">
        <v>1934</v>
      </c>
      <c r="K1053" s="4">
        <v>46122.0</v>
      </c>
      <c r="L1053" s="2" t="s">
        <v>4464</v>
      </c>
    </row>
    <row r="1054">
      <c r="A1054" s="2" t="s">
        <v>4465</v>
      </c>
      <c r="B1054" s="2" t="s">
        <v>4466</v>
      </c>
      <c r="C1054" s="2" t="s">
        <v>14</v>
      </c>
      <c r="D1054" s="2" t="s">
        <v>15</v>
      </c>
      <c r="E1054" s="2" t="s">
        <v>23</v>
      </c>
      <c r="F1054" s="3">
        <f>+5491170593664</f>
        <v>5491170593664</v>
      </c>
      <c r="G1054" s="2" t="s">
        <v>4467</v>
      </c>
      <c r="H1054" s="2" t="s">
        <v>25</v>
      </c>
      <c r="I1054" s="2" t="s">
        <v>957</v>
      </c>
      <c r="J1054" s="2" t="s">
        <v>1475</v>
      </c>
      <c r="K1054" s="4">
        <v>46122.0</v>
      </c>
      <c r="L1054" s="2" t="s">
        <v>4468</v>
      </c>
    </row>
    <row r="1055">
      <c r="A1055" s="2" t="s">
        <v>4469</v>
      </c>
      <c r="B1055" s="2" t="s">
        <v>4470</v>
      </c>
      <c r="C1055" s="2" t="s">
        <v>14</v>
      </c>
      <c r="D1055" s="2" t="s">
        <v>15</v>
      </c>
      <c r="E1055" s="2" t="s">
        <v>23</v>
      </c>
      <c r="F1055" s="3">
        <f>+5491139230985</f>
        <v>5491139230985</v>
      </c>
      <c r="G1055" s="2" t="s">
        <v>4471</v>
      </c>
      <c r="H1055" s="2" t="s">
        <v>25</v>
      </c>
      <c r="I1055" s="2" t="s">
        <v>357</v>
      </c>
      <c r="J1055" s="2" t="s">
        <v>787</v>
      </c>
      <c r="K1055" s="4">
        <v>46122.0</v>
      </c>
      <c r="L1055" s="2" t="s">
        <v>4472</v>
      </c>
    </row>
    <row r="1056">
      <c r="A1056" s="2" t="s">
        <v>4473</v>
      </c>
      <c r="B1056" s="2" t="s">
        <v>4474</v>
      </c>
      <c r="C1056" s="2" t="s">
        <v>14</v>
      </c>
      <c r="D1056" s="2" t="s">
        <v>15</v>
      </c>
      <c r="E1056" s="2" t="s">
        <v>23</v>
      </c>
      <c r="F1056" s="3">
        <f>+542615799421</f>
        <v>542615799421</v>
      </c>
      <c r="G1056" s="2" t="s">
        <v>4475</v>
      </c>
      <c r="H1056" s="2" t="s">
        <v>71</v>
      </c>
      <c r="I1056" s="2" t="s">
        <v>72</v>
      </c>
      <c r="J1056" s="2" t="s">
        <v>4476</v>
      </c>
      <c r="K1056" s="4">
        <v>46122.0</v>
      </c>
      <c r="L1056" s="2" t="s">
        <v>4477</v>
      </c>
    </row>
    <row r="1057">
      <c r="A1057" s="2" t="s">
        <v>4478</v>
      </c>
      <c r="B1057" s="2" t="s">
        <v>4479</v>
      </c>
      <c r="C1057" s="2" t="s">
        <v>14</v>
      </c>
      <c r="D1057" s="2" t="s">
        <v>15</v>
      </c>
      <c r="E1057" s="2" t="s">
        <v>23</v>
      </c>
      <c r="F1057" s="3">
        <f>+5492236927194</f>
        <v>5492236927194</v>
      </c>
      <c r="G1057" s="2" t="s">
        <v>4480</v>
      </c>
      <c r="H1057" s="2" t="s">
        <v>25</v>
      </c>
      <c r="I1057" s="2" t="s">
        <v>649</v>
      </c>
      <c r="J1057" s="2" t="s">
        <v>2649</v>
      </c>
      <c r="K1057" s="4">
        <v>46122.0</v>
      </c>
      <c r="L1057" s="2" t="s">
        <v>4481</v>
      </c>
    </row>
    <row r="1058">
      <c r="A1058" s="2" t="s">
        <v>4482</v>
      </c>
      <c r="B1058" s="2" t="s">
        <v>4483</v>
      </c>
      <c r="C1058" s="2" t="s">
        <v>14</v>
      </c>
      <c r="D1058" s="2" t="s">
        <v>15</v>
      </c>
      <c r="E1058" s="2" t="s">
        <v>23</v>
      </c>
      <c r="F1058" s="3">
        <f>+5491126230963</f>
        <v>5491126230963</v>
      </c>
      <c r="G1058" s="2" t="s">
        <v>4484</v>
      </c>
      <c r="H1058" s="2" t="s">
        <v>32</v>
      </c>
      <c r="I1058" s="2" t="s">
        <v>25</v>
      </c>
      <c r="J1058" s="2" t="s">
        <v>702</v>
      </c>
      <c r="K1058" s="4">
        <v>46122.0</v>
      </c>
      <c r="L1058" s="2" t="s">
        <v>4485</v>
      </c>
    </row>
    <row r="1059">
      <c r="A1059" s="2" t="s">
        <v>4486</v>
      </c>
      <c r="B1059" s="2" t="s">
        <v>4487</v>
      </c>
      <c r="C1059" s="2" t="s">
        <v>14</v>
      </c>
      <c r="D1059" s="2" t="s">
        <v>15</v>
      </c>
      <c r="E1059" s="2" t="s">
        <v>23</v>
      </c>
      <c r="F1059" s="3">
        <f>+5491157488106</f>
        <v>5491157488106</v>
      </c>
      <c r="G1059" s="2" t="s">
        <v>4488</v>
      </c>
      <c r="H1059" s="2" t="s">
        <v>25</v>
      </c>
      <c r="I1059" s="2" t="s">
        <v>78</v>
      </c>
      <c r="J1059" s="2" t="s">
        <v>78</v>
      </c>
      <c r="K1059" s="4">
        <v>46122.0</v>
      </c>
      <c r="L1059" s="2" t="s">
        <v>4489</v>
      </c>
    </row>
    <row r="1060">
      <c r="A1060" s="2" t="s">
        <v>4490</v>
      </c>
      <c r="B1060" s="2" t="s">
        <v>4491</v>
      </c>
      <c r="C1060" s="2" t="s">
        <v>14</v>
      </c>
      <c r="D1060" s="2" t="s">
        <v>15</v>
      </c>
      <c r="E1060" s="2" t="s">
        <v>23</v>
      </c>
      <c r="F1060" s="3">
        <f>+5491159929866</f>
        <v>5491159929866</v>
      </c>
      <c r="G1060" s="2" t="s">
        <v>4492</v>
      </c>
      <c r="H1060" s="2" t="s">
        <v>25</v>
      </c>
      <c r="I1060" s="2" t="s">
        <v>49</v>
      </c>
      <c r="J1060" s="2" t="s">
        <v>178</v>
      </c>
      <c r="K1060" s="4">
        <v>46122.0</v>
      </c>
      <c r="L1060" s="2" t="s">
        <v>4493</v>
      </c>
    </row>
    <row r="1061">
      <c r="A1061" s="2" t="s">
        <v>4494</v>
      </c>
      <c r="B1061" s="2" t="s">
        <v>4495</v>
      </c>
      <c r="C1061" s="2" t="s">
        <v>14</v>
      </c>
      <c r="D1061" s="2" t="s">
        <v>15</v>
      </c>
      <c r="E1061" s="2" t="s">
        <v>23</v>
      </c>
      <c r="F1061" s="3">
        <f>+5492304309178</f>
        <v>5492304309178</v>
      </c>
      <c r="G1061" s="2" t="s">
        <v>4496</v>
      </c>
      <c r="H1061" s="2" t="s">
        <v>25</v>
      </c>
      <c r="I1061" s="2" t="s">
        <v>49</v>
      </c>
      <c r="J1061" s="2" t="s">
        <v>49</v>
      </c>
      <c r="K1061" s="4">
        <v>46122.0</v>
      </c>
      <c r="L1061" s="2" t="s">
        <v>4497</v>
      </c>
    </row>
    <row r="1062">
      <c r="A1062" s="2" t="s">
        <v>4498</v>
      </c>
      <c r="B1062" s="2" t="s">
        <v>4499</v>
      </c>
      <c r="C1062" s="2" t="s">
        <v>14</v>
      </c>
      <c r="D1062" s="2" t="s">
        <v>15</v>
      </c>
      <c r="E1062" s="2" t="s">
        <v>16</v>
      </c>
      <c r="F1062" s="3">
        <f>+5491111111111</f>
        <v>5491111111111</v>
      </c>
      <c r="G1062" s="2" t="s">
        <v>4500</v>
      </c>
      <c r="H1062" s="2" t="s">
        <v>25</v>
      </c>
      <c r="I1062" s="2" t="s">
        <v>44</v>
      </c>
      <c r="J1062" s="2" t="s">
        <v>1901</v>
      </c>
      <c r="K1062" s="4">
        <v>46122.0</v>
      </c>
      <c r="L1062" s="2" t="s">
        <v>4501</v>
      </c>
    </row>
    <row r="1063">
      <c r="A1063" s="2" t="s">
        <v>4502</v>
      </c>
      <c r="B1063" s="2" t="s">
        <v>4503</v>
      </c>
      <c r="C1063" s="2" t="s">
        <v>14</v>
      </c>
      <c r="D1063" s="2" t="s">
        <v>15</v>
      </c>
      <c r="E1063" s="2" t="s">
        <v>23</v>
      </c>
      <c r="F1063" s="3">
        <f>+5493517717767</f>
        <v>5493517717767</v>
      </c>
      <c r="G1063" s="2" t="s">
        <v>4504</v>
      </c>
      <c r="H1063" s="2" t="s">
        <v>18</v>
      </c>
      <c r="I1063" s="2" t="s">
        <v>18</v>
      </c>
      <c r="J1063" s="2" t="s">
        <v>2905</v>
      </c>
      <c r="K1063" s="4">
        <v>46122.0</v>
      </c>
      <c r="L1063" s="2" t="s">
        <v>4505</v>
      </c>
    </row>
    <row r="1064">
      <c r="A1064" s="2" t="s">
        <v>4506</v>
      </c>
      <c r="B1064" s="2" t="s">
        <v>4507</v>
      </c>
      <c r="C1064" s="2" t="s">
        <v>14</v>
      </c>
      <c r="D1064" s="2" t="s">
        <v>15</v>
      </c>
      <c r="E1064" s="2" t="s">
        <v>23</v>
      </c>
      <c r="F1064" s="3">
        <f>+5491159748765</f>
        <v>5491159748765</v>
      </c>
      <c r="G1064" s="2" t="s">
        <v>4508</v>
      </c>
      <c r="H1064" s="2" t="s">
        <v>25</v>
      </c>
      <c r="I1064" s="2" t="s">
        <v>764</v>
      </c>
      <c r="J1064" s="2" t="s">
        <v>1213</v>
      </c>
      <c r="K1064" s="4">
        <v>46122.0</v>
      </c>
      <c r="L1064" s="2" t="s">
        <v>4509</v>
      </c>
    </row>
    <row r="1065">
      <c r="A1065" s="2" t="s">
        <v>4510</v>
      </c>
      <c r="B1065" s="2" t="s">
        <v>4511</v>
      </c>
      <c r="C1065" s="2" t="s">
        <v>14</v>
      </c>
      <c r="D1065" s="2" t="s">
        <v>15</v>
      </c>
      <c r="E1065" s="2" t="s">
        <v>23</v>
      </c>
      <c r="F1065" s="3">
        <f>+5491134249890</f>
        <v>5491134249890</v>
      </c>
      <c r="G1065" s="2" t="s">
        <v>4512</v>
      </c>
      <c r="H1065" s="2" t="s">
        <v>32</v>
      </c>
      <c r="I1065" s="2" t="s">
        <v>25</v>
      </c>
      <c r="J1065" s="2" t="s">
        <v>33</v>
      </c>
      <c r="K1065" s="4">
        <v>46122.0</v>
      </c>
      <c r="L1065" s="2" t="s">
        <v>4513</v>
      </c>
    </row>
    <row r="1066">
      <c r="A1066" s="2" t="s">
        <v>4514</v>
      </c>
      <c r="B1066" s="2" t="s">
        <v>4515</v>
      </c>
      <c r="C1066" s="2" t="s">
        <v>14</v>
      </c>
      <c r="D1066" s="2" t="s">
        <v>15</v>
      </c>
      <c r="E1066" s="2" t="s">
        <v>23</v>
      </c>
      <c r="F1066" s="3">
        <f>+5491127343112</f>
        <v>5491127343112</v>
      </c>
      <c r="G1066" s="2" t="s">
        <v>4516</v>
      </c>
      <c r="H1066" s="2" t="s">
        <v>25</v>
      </c>
      <c r="I1066" s="2" t="s">
        <v>309</v>
      </c>
      <c r="J1066" s="2" t="s">
        <v>309</v>
      </c>
      <c r="K1066" s="4">
        <v>46122.0</v>
      </c>
      <c r="L1066" s="2" t="s">
        <v>4517</v>
      </c>
    </row>
    <row r="1067">
      <c r="A1067" s="2" t="s">
        <v>4518</v>
      </c>
      <c r="B1067" s="2" t="s">
        <v>4519</v>
      </c>
      <c r="C1067" s="2" t="s">
        <v>14</v>
      </c>
      <c r="D1067" s="2" t="s">
        <v>15</v>
      </c>
      <c r="E1067" s="2" t="s">
        <v>23</v>
      </c>
      <c r="F1067" s="3">
        <f>+5491126567923</f>
        <v>5491126567923</v>
      </c>
      <c r="G1067" s="2" t="s">
        <v>4520</v>
      </c>
      <c r="H1067" s="2" t="s">
        <v>25</v>
      </c>
      <c r="I1067" s="2" t="s">
        <v>26</v>
      </c>
      <c r="J1067" s="2" t="s">
        <v>4521</v>
      </c>
      <c r="K1067" s="4">
        <v>46122.0</v>
      </c>
      <c r="L1067" s="2" t="s">
        <v>4522</v>
      </c>
    </row>
    <row r="1068">
      <c r="A1068" s="2" t="s">
        <v>4523</v>
      </c>
      <c r="B1068" s="2" t="s">
        <v>4524</v>
      </c>
      <c r="C1068" s="2" t="s">
        <v>14</v>
      </c>
      <c r="D1068" s="2" t="s">
        <v>15</v>
      </c>
      <c r="E1068" s="2" t="s">
        <v>23</v>
      </c>
      <c r="F1068" s="3">
        <f>+5491133452163</f>
        <v>5491133452163</v>
      </c>
      <c r="G1068" s="2" t="s">
        <v>4525</v>
      </c>
      <c r="H1068" s="2" t="s">
        <v>25</v>
      </c>
      <c r="I1068" s="2" t="s">
        <v>550</v>
      </c>
      <c r="J1068" s="2" t="s">
        <v>4526</v>
      </c>
      <c r="K1068" s="4">
        <v>46122.0</v>
      </c>
      <c r="L1068" s="2" t="s">
        <v>4527</v>
      </c>
    </row>
    <row r="1069">
      <c r="A1069" s="2" t="s">
        <v>4528</v>
      </c>
      <c r="B1069" s="2" t="s">
        <v>4529</v>
      </c>
      <c r="C1069" s="2" t="s">
        <v>14</v>
      </c>
      <c r="D1069" s="2" t="s">
        <v>15</v>
      </c>
      <c r="E1069" s="2" t="s">
        <v>16</v>
      </c>
      <c r="F1069" s="3">
        <f>+5493513425069</f>
        <v>5493513425069</v>
      </c>
      <c r="G1069" s="2" t="s">
        <v>4530</v>
      </c>
      <c r="H1069" s="2" t="s">
        <v>18</v>
      </c>
      <c r="I1069" s="2" t="s">
        <v>18</v>
      </c>
      <c r="J1069" s="2" t="s">
        <v>778</v>
      </c>
      <c r="K1069" s="4">
        <v>46122.0</v>
      </c>
      <c r="L1069" s="2" t="s">
        <v>4531</v>
      </c>
    </row>
    <row r="1070">
      <c r="A1070" s="2" t="s">
        <v>4532</v>
      </c>
      <c r="B1070" s="2" t="s">
        <v>4533</v>
      </c>
      <c r="C1070" s="2" t="s">
        <v>14</v>
      </c>
      <c r="D1070" s="2" t="s">
        <v>15</v>
      </c>
      <c r="E1070" s="2" t="s">
        <v>23</v>
      </c>
      <c r="F1070" s="3">
        <f>+5491124545573</f>
        <v>5491124545573</v>
      </c>
      <c r="G1070" s="2" t="s">
        <v>4534</v>
      </c>
      <c r="H1070" s="2" t="s">
        <v>32</v>
      </c>
      <c r="I1070" s="2" t="s">
        <v>25</v>
      </c>
      <c r="J1070" s="2" t="s">
        <v>33</v>
      </c>
      <c r="K1070" s="4">
        <v>46122.0</v>
      </c>
      <c r="L1070" s="2" t="s">
        <v>4535</v>
      </c>
    </row>
    <row r="1071">
      <c r="A1071" s="2" t="s">
        <v>4536</v>
      </c>
      <c r="B1071" s="2" t="s">
        <v>4537</v>
      </c>
      <c r="C1071" s="2" t="s">
        <v>14</v>
      </c>
      <c r="D1071" s="2" t="s">
        <v>15</v>
      </c>
      <c r="E1071" s="2" t="s">
        <v>23</v>
      </c>
      <c r="F1071" s="3">
        <f>+5491122591407</f>
        <v>5491122591407</v>
      </c>
      <c r="G1071" s="2" t="s">
        <v>4538</v>
      </c>
      <c r="H1071" s="2" t="s">
        <v>25</v>
      </c>
      <c r="I1071" s="2" t="s">
        <v>236</v>
      </c>
      <c r="J1071" s="2" t="s">
        <v>4539</v>
      </c>
      <c r="K1071" s="4">
        <v>46122.0</v>
      </c>
      <c r="L1071" s="2" t="s">
        <v>4540</v>
      </c>
    </row>
    <row r="1072">
      <c r="A1072" s="2" t="s">
        <v>4541</v>
      </c>
      <c r="B1072" s="2" t="s">
        <v>4542</v>
      </c>
      <c r="C1072" s="2" t="s">
        <v>14</v>
      </c>
      <c r="D1072" s="2" t="s">
        <v>15</v>
      </c>
      <c r="E1072" s="2" t="s">
        <v>23</v>
      </c>
      <c r="F1072" s="3">
        <f>+5491123696959</f>
        <v>5491123696959</v>
      </c>
      <c r="G1072" s="2" t="s">
        <v>4543</v>
      </c>
      <c r="H1072" s="2" t="s">
        <v>25</v>
      </c>
      <c r="I1072" s="2" t="s">
        <v>26</v>
      </c>
      <c r="J1072" s="2" t="s">
        <v>428</v>
      </c>
      <c r="K1072" s="4">
        <v>46122.0</v>
      </c>
      <c r="L1072" s="2" t="s">
        <v>4544</v>
      </c>
    </row>
    <row r="1073">
      <c r="A1073" s="2" t="s">
        <v>4545</v>
      </c>
      <c r="B1073" s="2" t="s">
        <v>4546</v>
      </c>
      <c r="C1073" s="2" t="s">
        <v>14</v>
      </c>
      <c r="D1073" s="2" t="s">
        <v>15</v>
      </c>
      <c r="E1073" s="2" t="s">
        <v>16</v>
      </c>
      <c r="F1073" s="3">
        <f t="shared" ref="F1073:F1074" si="13">+5491111111111</f>
        <v>5491111111111</v>
      </c>
      <c r="G1073" s="2" t="s">
        <v>4547</v>
      </c>
      <c r="H1073" s="2" t="s">
        <v>25</v>
      </c>
      <c r="I1073" s="2" t="s">
        <v>357</v>
      </c>
      <c r="J1073" s="2" t="s">
        <v>357</v>
      </c>
      <c r="K1073" s="4">
        <v>46122.0</v>
      </c>
      <c r="L1073" s="2" t="s">
        <v>4548</v>
      </c>
    </row>
    <row r="1074">
      <c r="A1074" s="2" t="s">
        <v>4549</v>
      </c>
      <c r="B1074" s="2" t="s">
        <v>4550</v>
      </c>
      <c r="C1074" s="2" t="s">
        <v>14</v>
      </c>
      <c r="D1074" s="2" t="s">
        <v>15</v>
      </c>
      <c r="E1074" s="2" t="s">
        <v>16</v>
      </c>
      <c r="F1074" s="3">
        <f t="shared" si="13"/>
        <v>5491111111111</v>
      </c>
      <c r="G1074" s="2" t="s">
        <v>4500</v>
      </c>
      <c r="H1074" s="2" t="s">
        <v>25</v>
      </c>
      <c r="I1074" s="2" t="s">
        <v>44</v>
      </c>
      <c r="J1074" s="2" t="s">
        <v>1901</v>
      </c>
      <c r="K1074" s="4">
        <v>46122.0</v>
      </c>
      <c r="L1074" s="2" t="s">
        <v>4551</v>
      </c>
    </row>
    <row r="1075">
      <c r="A1075" s="2" t="s">
        <v>4552</v>
      </c>
      <c r="B1075" s="2" t="s">
        <v>4553</v>
      </c>
      <c r="C1075" s="2" t="s">
        <v>14</v>
      </c>
      <c r="D1075" s="2" t="s">
        <v>15</v>
      </c>
      <c r="E1075" s="2" t="s">
        <v>23</v>
      </c>
      <c r="F1075" s="3">
        <f>+54901123942997</f>
        <v>54901123942997</v>
      </c>
      <c r="G1075" s="2" t="s">
        <v>4554</v>
      </c>
      <c r="H1075" s="2" t="s">
        <v>32</v>
      </c>
      <c r="I1075" s="2" t="s">
        <v>25</v>
      </c>
      <c r="J1075" s="2" t="s">
        <v>874</v>
      </c>
      <c r="K1075" s="4">
        <v>46122.0</v>
      </c>
      <c r="L1075" s="2" t="s">
        <v>4555</v>
      </c>
    </row>
    <row r="1076">
      <c r="A1076" s="2" t="s">
        <v>4556</v>
      </c>
      <c r="B1076" s="2" t="s">
        <v>4557</v>
      </c>
      <c r="C1076" s="2" t="s">
        <v>14</v>
      </c>
      <c r="D1076" s="2" t="s">
        <v>15</v>
      </c>
      <c r="E1076" s="2" t="s">
        <v>23</v>
      </c>
      <c r="F1076" s="3">
        <f>+5493814644228</f>
        <v>5493814644228</v>
      </c>
      <c r="G1076" s="2" t="s">
        <v>4558</v>
      </c>
      <c r="H1076" s="2" t="s">
        <v>55</v>
      </c>
      <c r="I1076" s="2" t="s">
        <v>56</v>
      </c>
      <c r="J1076" s="2" t="s">
        <v>56</v>
      </c>
      <c r="K1076" s="4">
        <v>46122.0</v>
      </c>
      <c r="L1076" s="2" t="s">
        <v>4559</v>
      </c>
    </row>
    <row r="1077">
      <c r="A1077" s="2" t="s">
        <v>4560</v>
      </c>
      <c r="B1077" s="2" t="s">
        <v>4561</v>
      </c>
      <c r="C1077" s="2" t="s">
        <v>14</v>
      </c>
      <c r="D1077" s="2" t="s">
        <v>15</v>
      </c>
      <c r="E1077" s="2" t="s">
        <v>23</v>
      </c>
      <c r="F1077" s="3">
        <f>+5491161107287</f>
        <v>5491161107287</v>
      </c>
      <c r="G1077" s="2" t="s">
        <v>4562</v>
      </c>
      <c r="H1077" s="2" t="s">
        <v>25</v>
      </c>
      <c r="I1077" s="2" t="s">
        <v>1378</v>
      </c>
      <c r="J1077" s="2" t="s">
        <v>1378</v>
      </c>
      <c r="K1077" s="4">
        <v>46122.0</v>
      </c>
      <c r="L1077" s="2" t="s">
        <v>4563</v>
      </c>
    </row>
    <row r="1078">
      <c r="A1078" s="2" t="s">
        <v>4564</v>
      </c>
      <c r="B1078" s="2" t="s">
        <v>4565</v>
      </c>
      <c r="C1078" s="2" t="s">
        <v>14</v>
      </c>
      <c r="D1078" s="2" t="s">
        <v>15</v>
      </c>
      <c r="E1078" s="2" t="s">
        <v>23</v>
      </c>
      <c r="F1078" s="3">
        <f>+5491154594394</f>
        <v>5491154594394</v>
      </c>
      <c r="G1078" s="2" t="s">
        <v>4566</v>
      </c>
      <c r="H1078" s="2" t="s">
        <v>32</v>
      </c>
      <c r="I1078" s="2" t="s">
        <v>25</v>
      </c>
      <c r="J1078" s="2" t="s">
        <v>433</v>
      </c>
      <c r="K1078" s="4">
        <v>46122.0</v>
      </c>
      <c r="L1078" s="2" t="s">
        <v>4567</v>
      </c>
    </row>
    <row r="1079">
      <c r="A1079" s="2" t="s">
        <v>4568</v>
      </c>
      <c r="B1079" s="2" t="s">
        <v>4569</v>
      </c>
      <c r="C1079" s="2" t="s">
        <v>14</v>
      </c>
      <c r="D1079" s="2" t="s">
        <v>15</v>
      </c>
      <c r="E1079" s="2" t="s">
        <v>23</v>
      </c>
      <c r="F1079" s="3">
        <f>+5492477515322</f>
        <v>5492477515322</v>
      </c>
      <c r="G1079" s="2" t="s">
        <v>4570</v>
      </c>
      <c r="H1079" s="2" t="s">
        <v>25</v>
      </c>
      <c r="I1079" s="2" t="s">
        <v>649</v>
      </c>
      <c r="J1079" s="2" t="s">
        <v>659</v>
      </c>
      <c r="K1079" s="4">
        <v>46122.0</v>
      </c>
      <c r="L1079" s="2" t="s">
        <v>4571</v>
      </c>
    </row>
    <row r="1080">
      <c r="A1080" s="2" t="s">
        <v>4572</v>
      </c>
      <c r="B1080" s="2" t="s">
        <v>4573</v>
      </c>
      <c r="C1080" s="2" t="s">
        <v>14</v>
      </c>
      <c r="D1080" s="2" t="s">
        <v>15</v>
      </c>
      <c r="E1080" s="2" t="s">
        <v>23</v>
      </c>
      <c r="F1080" s="3">
        <f>+5491121723756</f>
        <v>5491121723756</v>
      </c>
      <c r="G1080" s="2" t="s">
        <v>4574</v>
      </c>
      <c r="H1080" s="2" t="s">
        <v>25</v>
      </c>
      <c r="I1080" s="2" t="s">
        <v>49</v>
      </c>
      <c r="J1080" s="2" t="s">
        <v>4575</v>
      </c>
      <c r="K1080" s="4">
        <v>46122.0</v>
      </c>
      <c r="L1080" s="2" t="s">
        <v>4576</v>
      </c>
    </row>
    <row r="1081">
      <c r="A1081" s="2" t="s">
        <v>4577</v>
      </c>
      <c r="B1081" s="2" t="s">
        <v>4578</v>
      </c>
      <c r="C1081" s="2" t="s">
        <v>14</v>
      </c>
      <c r="D1081" s="2" t="s">
        <v>15</v>
      </c>
      <c r="E1081" s="2" t="s">
        <v>23</v>
      </c>
      <c r="F1081" s="3">
        <f>+5492216397354</f>
        <v>5492216397354</v>
      </c>
      <c r="G1081" s="2" t="s">
        <v>4579</v>
      </c>
      <c r="H1081" s="2" t="s">
        <v>25</v>
      </c>
      <c r="I1081" s="2" t="s">
        <v>44</v>
      </c>
      <c r="J1081" s="2" t="s">
        <v>44</v>
      </c>
      <c r="K1081" s="4">
        <v>46122.0</v>
      </c>
      <c r="L1081" s="2" t="s">
        <v>4580</v>
      </c>
    </row>
    <row r="1082">
      <c r="A1082" s="2" t="s">
        <v>4581</v>
      </c>
      <c r="B1082" s="2" t="s">
        <v>4582</v>
      </c>
      <c r="C1082" s="2" t="s">
        <v>14</v>
      </c>
      <c r="D1082" s="2" t="s">
        <v>15</v>
      </c>
      <c r="E1082" s="2" t="s">
        <v>16</v>
      </c>
      <c r="F1082" s="3">
        <f>+541126698801</f>
        <v>541126698801</v>
      </c>
      <c r="G1082" s="2" t="s">
        <v>4583</v>
      </c>
      <c r="H1082" s="2" t="s">
        <v>25</v>
      </c>
      <c r="I1082" s="2" t="s">
        <v>236</v>
      </c>
      <c r="J1082" s="2" t="s">
        <v>4584</v>
      </c>
      <c r="K1082" s="4">
        <v>46122.0</v>
      </c>
      <c r="L1082" s="2" t="s">
        <v>4585</v>
      </c>
    </row>
    <row r="1083">
      <c r="A1083" s="2" t="s">
        <v>4586</v>
      </c>
      <c r="B1083" s="2" t="s">
        <v>4587</v>
      </c>
      <c r="C1083" s="2" t="s">
        <v>14</v>
      </c>
      <c r="D1083" s="2" t="s">
        <v>15</v>
      </c>
      <c r="E1083" s="2" t="s">
        <v>23</v>
      </c>
      <c r="F1083" s="3">
        <f>+5491156055141</f>
        <v>5491156055141</v>
      </c>
      <c r="G1083" s="2" t="s">
        <v>4588</v>
      </c>
      <c r="H1083" s="2" t="s">
        <v>25</v>
      </c>
      <c r="I1083" s="2" t="s">
        <v>971</v>
      </c>
      <c r="J1083" s="2" t="s">
        <v>971</v>
      </c>
      <c r="K1083" s="4">
        <v>46122.0</v>
      </c>
      <c r="L1083" s="2" t="s">
        <v>4589</v>
      </c>
    </row>
    <row r="1084">
      <c r="A1084" s="2" t="s">
        <v>4590</v>
      </c>
      <c r="B1084" s="2" t="s">
        <v>4591</v>
      </c>
      <c r="C1084" s="2" t="s">
        <v>14</v>
      </c>
      <c r="D1084" s="2" t="s">
        <v>15</v>
      </c>
      <c r="E1084" s="2" t="s">
        <v>23</v>
      </c>
      <c r="F1084" s="3">
        <f>+5491122423265</f>
        <v>5491122423265</v>
      </c>
      <c r="G1084" s="2" t="s">
        <v>4592</v>
      </c>
      <c r="H1084" s="2" t="s">
        <v>25</v>
      </c>
      <c r="I1084" s="2" t="s">
        <v>241</v>
      </c>
      <c r="J1084" s="2" t="s">
        <v>241</v>
      </c>
      <c r="K1084" s="4">
        <v>46122.0</v>
      </c>
      <c r="L1084" s="2" t="s">
        <v>4593</v>
      </c>
    </row>
    <row r="1085">
      <c r="A1085" s="2" t="s">
        <v>4594</v>
      </c>
      <c r="B1085" s="2" t="s">
        <v>4595</v>
      </c>
      <c r="C1085" s="2" t="s">
        <v>14</v>
      </c>
      <c r="D1085" s="2" t="s">
        <v>15</v>
      </c>
      <c r="E1085" s="2" t="s">
        <v>23</v>
      </c>
      <c r="F1085" s="3">
        <f>+5493813869615</f>
        <v>5493813869615</v>
      </c>
      <c r="G1085" s="2" t="s">
        <v>4596</v>
      </c>
      <c r="H1085" s="2" t="s">
        <v>55</v>
      </c>
      <c r="I1085" s="2" t="s">
        <v>883</v>
      </c>
      <c r="J1085" s="2" t="s">
        <v>2400</v>
      </c>
      <c r="K1085" s="4">
        <v>46122.0</v>
      </c>
      <c r="L1085" s="2" t="s">
        <v>4597</v>
      </c>
    </row>
    <row r="1086">
      <c r="A1086" s="2" t="s">
        <v>4598</v>
      </c>
      <c r="B1086" s="2" t="s">
        <v>4599</v>
      </c>
      <c r="C1086" s="2" t="s">
        <v>14</v>
      </c>
      <c r="D1086" s="2" t="s">
        <v>15</v>
      </c>
      <c r="E1086" s="2" t="s">
        <v>23</v>
      </c>
      <c r="F1086" s="3">
        <f>+5491125895464</f>
        <v>5491125895464</v>
      </c>
      <c r="G1086" s="2" t="s">
        <v>4600</v>
      </c>
      <c r="H1086" s="2" t="s">
        <v>25</v>
      </c>
      <c r="I1086" s="2" t="s">
        <v>78</v>
      </c>
      <c r="J1086" s="2" t="s">
        <v>423</v>
      </c>
      <c r="K1086" s="4">
        <v>46122.0</v>
      </c>
      <c r="L1086" s="2" t="s">
        <v>4601</v>
      </c>
    </row>
    <row r="1087">
      <c r="A1087" s="2" t="s">
        <v>4602</v>
      </c>
      <c r="B1087" s="2" t="s">
        <v>4603</v>
      </c>
      <c r="C1087" s="2" t="s">
        <v>14</v>
      </c>
      <c r="D1087" s="2" t="s">
        <v>15</v>
      </c>
      <c r="E1087" s="2" t="s">
        <v>16</v>
      </c>
      <c r="F1087" s="3">
        <f>+5491111111111</f>
        <v>5491111111111</v>
      </c>
      <c r="G1087" s="2" t="s">
        <v>4604</v>
      </c>
      <c r="H1087" s="2" t="s">
        <v>25</v>
      </c>
      <c r="I1087" s="2" t="s">
        <v>203</v>
      </c>
      <c r="J1087" s="2" t="s">
        <v>204</v>
      </c>
      <c r="K1087" s="4">
        <v>46122.0</v>
      </c>
      <c r="L1087" s="2" t="s">
        <v>4605</v>
      </c>
    </row>
    <row r="1088">
      <c r="A1088" s="2" t="s">
        <v>4606</v>
      </c>
      <c r="B1088" s="2" t="s">
        <v>4607</v>
      </c>
      <c r="C1088" s="2" t="s">
        <v>14</v>
      </c>
      <c r="D1088" s="2" t="s">
        <v>15</v>
      </c>
      <c r="E1088" s="2" t="s">
        <v>23</v>
      </c>
      <c r="F1088" s="3">
        <f>+5492914382011</f>
        <v>5492914382011</v>
      </c>
      <c r="G1088" s="2" t="s">
        <v>4608</v>
      </c>
      <c r="H1088" s="2" t="s">
        <v>25</v>
      </c>
      <c r="I1088" s="2" t="s">
        <v>841</v>
      </c>
      <c r="J1088" s="2" t="s">
        <v>219</v>
      </c>
      <c r="K1088" s="4">
        <v>46122.0</v>
      </c>
      <c r="L1088" s="2" t="s">
        <v>4609</v>
      </c>
    </row>
    <row r="1089">
      <c r="A1089" s="2" t="s">
        <v>4610</v>
      </c>
      <c r="B1089" s="2" t="s">
        <v>4611</v>
      </c>
      <c r="C1089" s="2" t="s">
        <v>14</v>
      </c>
      <c r="D1089" s="2" t="s">
        <v>15</v>
      </c>
      <c r="E1089" s="2" t="s">
        <v>23</v>
      </c>
      <c r="F1089" s="3">
        <f>+5492213593677</f>
        <v>5492213593677</v>
      </c>
      <c r="G1089" s="2" t="s">
        <v>4612</v>
      </c>
      <c r="H1089" s="2" t="s">
        <v>25</v>
      </c>
      <c r="I1089" s="2" t="s">
        <v>44</v>
      </c>
      <c r="J1089" s="2" t="s">
        <v>1901</v>
      </c>
      <c r="K1089" s="4">
        <v>46122.0</v>
      </c>
      <c r="L1089" s="2" t="s">
        <v>4613</v>
      </c>
    </row>
    <row r="1090">
      <c r="A1090" s="2" t="s">
        <v>4614</v>
      </c>
      <c r="B1090" s="2" t="s">
        <v>4615</v>
      </c>
      <c r="C1090" s="2" t="s">
        <v>14</v>
      </c>
      <c r="D1090" s="2" t="s">
        <v>15</v>
      </c>
      <c r="E1090" s="2" t="s">
        <v>23</v>
      </c>
      <c r="F1090" s="3">
        <f>+5493874085771</f>
        <v>5493874085771</v>
      </c>
      <c r="G1090" s="2" t="s">
        <v>4616</v>
      </c>
      <c r="H1090" s="2" t="s">
        <v>725</v>
      </c>
      <c r="I1090" s="2" t="s">
        <v>725</v>
      </c>
      <c r="J1090" s="2" t="s">
        <v>4617</v>
      </c>
      <c r="K1090" s="4">
        <v>46122.0</v>
      </c>
      <c r="L1090" s="2" t="s">
        <v>4618</v>
      </c>
    </row>
    <row r="1091">
      <c r="A1091" s="2" t="s">
        <v>4619</v>
      </c>
      <c r="B1091" s="2" t="s">
        <v>4620</v>
      </c>
      <c r="C1091" s="2" t="s">
        <v>14</v>
      </c>
      <c r="D1091" s="2" t="s">
        <v>15</v>
      </c>
      <c r="E1091" s="2" t="s">
        <v>23</v>
      </c>
      <c r="F1091" s="3">
        <f>+5491161548589</f>
        <v>5491161548589</v>
      </c>
      <c r="G1091" s="2" t="s">
        <v>4621</v>
      </c>
      <c r="H1091" s="2" t="s">
        <v>25</v>
      </c>
      <c r="I1091" s="2" t="s">
        <v>230</v>
      </c>
      <c r="J1091" s="2" t="s">
        <v>4622</v>
      </c>
      <c r="K1091" s="4">
        <v>46122.0</v>
      </c>
      <c r="L1091" s="2" t="s">
        <v>4623</v>
      </c>
    </row>
    <row r="1092">
      <c r="A1092" s="2" t="s">
        <v>4624</v>
      </c>
      <c r="B1092" s="2" t="s">
        <v>4625</v>
      </c>
      <c r="C1092" s="2" t="s">
        <v>14</v>
      </c>
      <c r="D1092" s="2" t="s">
        <v>15</v>
      </c>
      <c r="E1092" s="2" t="s">
        <v>23</v>
      </c>
      <c r="F1092" s="3">
        <f>+5491124803355</f>
        <v>5491124803355</v>
      </c>
      <c r="G1092" s="2" t="s">
        <v>4626</v>
      </c>
      <c r="H1092" s="2" t="s">
        <v>25</v>
      </c>
      <c r="I1092" s="2" t="s">
        <v>49</v>
      </c>
      <c r="J1092" s="2" t="s">
        <v>2031</v>
      </c>
      <c r="K1092" s="4">
        <v>46122.0</v>
      </c>
      <c r="L1092" s="2" t="s">
        <v>4627</v>
      </c>
    </row>
    <row r="1093">
      <c r="A1093" s="2" t="s">
        <v>4628</v>
      </c>
      <c r="B1093" s="2" t="s">
        <v>4629</v>
      </c>
      <c r="C1093" s="2" t="s">
        <v>14</v>
      </c>
      <c r="D1093" s="2" t="s">
        <v>15</v>
      </c>
      <c r="E1093" s="2" t="s">
        <v>16</v>
      </c>
      <c r="F1093" s="3">
        <f>+54911390944397</f>
        <v>54911390944397</v>
      </c>
      <c r="G1093" s="2" t="s">
        <v>3095</v>
      </c>
      <c r="H1093" s="2" t="s">
        <v>32</v>
      </c>
      <c r="I1093" s="2" t="s">
        <v>25</v>
      </c>
      <c r="J1093" s="2" t="s">
        <v>1037</v>
      </c>
      <c r="K1093" s="4">
        <v>46122.0</v>
      </c>
      <c r="L1093" s="2" t="s">
        <v>3096</v>
      </c>
    </row>
    <row r="1094">
      <c r="A1094" s="2" t="s">
        <v>4630</v>
      </c>
      <c r="B1094" s="2" t="s">
        <v>4631</v>
      </c>
      <c r="C1094" s="2" t="s">
        <v>14</v>
      </c>
      <c r="D1094" s="2" t="s">
        <v>15</v>
      </c>
      <c r="E1094" s="2" t="s">
        <v>23</v>
      </c>
      <c r="F1094" s="3">
        <f>+5491131231985</f>
        <v>5491131231985</v>
      </c>
      <c r="G1094" s="2" t="s">
        <v>4632</v>
      </c>
      <c r="H1094" s="2" t="s">
        <v>25</v>
      </c>
      <c r="I1094" s="2" t="s">
        <v>309</v>
      </c>
      <c r="J1094" s="2" t="s">
        <v>309</v>
      </c>
      <c r="K1094" s="4">
        <v>46122.0</v>
      </c>
      <c r="L1094" s="2" t="s">
        <v>4633</v>
      </c>
    </row>
    <row r="1095">
      <c r="A1095" s="2" t="s">
        <v>4634</v>
      </c>
      <c r="B1095" s="2" t="s">
        <v>4635</v>
      </c>
      <c r="C1095" s="2" t="s">
        <v>14</v>
      </c>
      <c r="D1095" s="2" t="s">
        <v>15</v>
      </c>
      <c r="E1095" s="2" t="s">
        <v>23</v>
      </c>
      <c r="F1095" s="3">
        <f>+5491153484785</f>
        <v>5491153484785</v>
      </c>
      <c r="G1095" s="2" t="s">
        <v>4636</v>
      </c>
      <c r="H1095" s="2" t="s">
        <v>32</v>
      </c>
      <c r="I1095" s="2" t="s">
        <v>25</v>
      </c>
      <c r="J1095" s="2" t="s">
        <v>707</v>
      </c>
      <c r="K1095" s="4">
        <v>46122.0</v>
      </c>
      <c r="L1095" s="2" t="s">
        <v>4637</v>
      </c>
    </row>
    <row r="1096">
      <c r="A1096" s="2" t="s">
        <v>4638</v>
      </c>
      <c r="B1096" s="2" t="s">
        <v>4639</v>
      </c>
      <c r="C1096" s="2" t="s">
        <v>14</v>
      </c>
      <c r="D1096" s="2" t="s">
        <v>15</v>
      </c>
      <c r="E1096" s="2" t="s">
        <v>16</v>
      </c>
      <c r="F1096" s="3">
        <f>+5491111111111</f>
        <v>5491111111111</v>
      </c>
      <c r="G1096" s="2" t="s">
        <v>4640</v>
      </c>
      <c r="H1096" s="2" t="s">
        <v>25</v>
      </c>
      <c r="I1096" s="2" t="s">
        <v>236</v>
      </c>
      <c r="J1096" s="2" t="s">
        <v>2099</v>
      </c>
      <c r="K1096" s="4">
        <v>46122.0</v>
      </c>
      <c r="L1096" s="2" t="s">
        <v>4641</v>
      </c>
    </row>
    <row r="1097">
      <c r="A1097" s="2" t="s">
        <v>4642</v>
      </c>
      <c r="B1097" s="2" t="s">
        <v>4643</v>
      </c>
      <c r="C1097" s="2" t="s">
        <v>14</v>
      </c>
      <c r="D1097" s="2" t="s">
        <v>15</v>
      </c>
      <c r="E1097" s="2" t="s">
        <v>23</v>
      </c>
      <c r="F1097" s="3">
        <f>+5491171461646</f>
        <v>5491171461646</v>
      </c>
      <c r="G1097" s="2" t="s">
        <v>4644</v>
      </c>
      <c r="H1097" s="2" t="s">
        <v>25</v>
      </c>
      <c r="I1097" s="2" t="s">
        <v>118</v>
      </c>
      <c r="J1097" s="2" t="s">
        <v>198</v>
      </c>
      <c r="K1097" s="4">
        <v>46122.0</v>
      </c>
      <c r="L1097" s="2" t="s">
        <v>4645</v>
      </c>
    </row>
    <row r="1098">
      <c r="A1098" s="2" t="s">
        <v>4646</v>
      </c>
      <c r="B1098" s="2" t="s">
        <v>4647</v>
      </c>
      <c r="C1098" s="2" t="s">
        <v>14</v>
      </c>
      <c r="D1098" s="2" t="s">
        <v>15</v>
      </c>
      <c r="E1098" s="2" t="s">
        <v>23</v>
      </c>
      <c r="F1098" s="3">
        <f>+5491158298159</f>
        <v>5491158298159</v>
      </c>
      <c r="G1098" s="2" t="s">
        <v>4648</v>
      </c>
      <c r="H1098" s="2" t="s">
        <v>32</v>
      </c>
      <c r="I1098" s="2" t="s">
        <v>25</v>
      </c>
      <c r="J1098" s="2" t="s">
        <v>874</v>
      </c>
      <c r="K1098" s="4">
        <v>46122.0</v>
      </c>
      <c r="L1098" s="2" t="s">
        <v>4649</v>
      </c>
    </row>
    <row r="1099">
      <c r="A1099" s="2" t="s">
        <v>4650</v>
      </c>
      <c r="B1099" s="2" t="s">
        <v>4651</v>
      </c>
      <c r="C1099" s="2" t="s">
        <v>14</v>
      </c>
      <c r="D1099" s="2" t="s">
        <v>15</v>
      </c>
      <c r="E1099" s="2" t="s">
        <v>23</v>
      </c>
      <c r="F1099" s="3">
        <f>+5491169732366</f>
        <v>5491169732366</v>
      </c>
      <c r="G1099" s="2" t="s">
        <v>4652</v>
      </c>
      <c r="H1099" s="2" t="s">
        <v>25</v>
      </c>
      <c r="I1099" s="2" t="s">
        <v>357</v>
      </c>
      <c r="J1099" s="2" t="s">
        <v>4029</v>
      </c>
      <c r="K1099" s="4">
        <v>46122.0</v>
      </c>
      <c r="L1099" s="2" t="s">
        <v>4653</v>
      </c>
    </row>
    <row r="1100">
      <c r="A1100" s="2" t="s">
        <v>4654</v>
      </c>
      <c r="B1100" s="2" t="s">
        <v>4655</v>
      </c>
      <c r="C1100" s="2" t="s">
        <v>14</v>
      </c>
      <c r="D1100" s="2" t="s">
        <v>15</v>
      </c>
      <c r="E1100" s="2" t="s">
        <v>23</v>
      </c>
      <c r="F1100" s="3">
        <f>+5491130059517</f>
        <v>5491130059517</v>
      </c>
      <c r="G1100" s="2" t="s">
        <v>4656</v>
      </c>
      <c r="H1100" s="2" t="s">
        <v>25</v>
      </c>
      <c r="I1100" s="2" t="s">
        <v>84</v>
      </c>
      <c r="J1100" s="2" t="s">
        <v>1699</v>
      </c>
      <c r="K1100" s="4">
        <v>46122.0</v>
      </c>
      <c r="L1100" s="2" t="s">
        <v>4657</v>
      </c>
    </row>
    <row r="1101">
      <c r="A1101" s="2" t="s">
        <v>4658</v>
      </c>
      <c r="B1101" s="2" t="s">
        <v>4659</v>
      </c>
      <c r="C1101" s="2" t="s">
        <v>14</v>
      </c>
      <c r="D1101" s="2" t="s">
        <v>15</v>
      </c>
      <c r="E1101" s="2" t="s">
        <v>23</v>
      </c>
      <c r="F1101" s="3">
        <f>+5492616009516</f>
        <v>5492616009516</v>
      </c>
      <c r="G1101" s="2" t="s">
        <v>4660</v>
      </c>
      <c r="H1101" s="2" t="s">
        <v>71</v>
      </c>
      <c r="I1101" s="2" t="s">
        <v>1156</v>
      </c>
      <c r="J1101" s="2" t="s">
        <v>3701</v>
      </c>
      <c r="K1101" s="4">
        <v>46122.0</v>
      </c>
      <c r="L1101" s="2" t="s">
        <v>4661</v>
      </c>
    </row>
    <row r="1102">
      <c r="A1102" s="2" t="s">
        <v>4662</v>
      </c>
      <c r="B1102" s="2" t="s">
        <v>4663</v>
      </c>
      <c r="C1102" s="2" t="s">
        <v>14</v>
      </c>
      <c r="D1102" s="2" t="s">
        <v>15</v>
      </c>
      <c r="E1102" s="2" t="s">
        <v>23</v>
      </c>
      <c r="F1102" s="3">
        <f>+5491125294951</f>
        <v>5491125294951</v>
      </c>
      <c r="G1102" s="2" t="s">
        <v>4664</v>
      </c>
      <c r="H1102" s="2" t="s">
        <v>25</v>
      </c>
      <c r="I1102" s="2" t="s">
        <v>230</v>
      </c>
      <c r="J1102" s="2" t="s">
        <v>4622</v>
      </c>
      <c r="K1102" s="4">
        <v>46122.0</v>
      </c>
      <c r="L1102" s="2" t="s">
        <v>4665</v>
      </c>
    </row>
    <row r="1103">
      <c r="A1103" s="2" t="s">
        <v>4666</v>
      </c>
      <c r="B1103" s="2" t="s">
        <v>4667</v>
      </c>
      <c r="C1103" s="2" t="s">
        <v>14</v>
      </c>
      <c r="D1103" s="2" t="s">
        <v>15</v>
      </c>
      <c r="E1103" s="2" t="s">
        <v>23</v>
      </c>
      <c r="F1103" s="3">
        <f>+5492236996399</f>
        <v>5492236996399</v>
      </c>
      <c r="G1103" s="2" t="s">
        <v>4668</v>
      </c>
      <c r="H1103" s="2" t="s">
        <v>25</v>
      </c>
      <c r="I1103" s="2" t="s">
        <v>649</v>
      </c>
      <c r="J1103" s="2" t="s">
        <v>3037</v>
      </c>
      <c r="K1103" s="4">
        <v>46122.0</v>
      </c>
      <c r="L1103" s="2" t="s">
        <v>4669</v>
      </c>
    </row>
    <row r="1104">
      <c r="A1104" s="2" t="s">
        <v>4670</v>
      </c>
      <c r="B1104" s="2" t="s">
        <v>4671</v>
      </c>
      <c r="C1104" s="2" t="s">
        <v>14</v>
      </c>
      <c r="D1104" s="2" t="s">
        <v>15</v>
      </c>
      <c r="E1104" s="2" t="s">
        <v>23</v>
      </c>
      <c r="F1104" s="3">
        <f>+5491126425997</f>
        <v>5491126425997</v>
      </c>
      <c r="G1104" s="2" t="s">
        <v>4672</v>
      </c>
      <c r="H1104" s="2" t="s">
        <v>25</v>
      </c>
      <c r="I1104" s="2" t="s">
        <v>230</v>
      </c>
      <c r="J1104" s="2" t="s">
        <v>4622</v>
      </c>
      <c r="K1104" s="4">
        <v>46122.0</v>
      </c>
      <c r="L1104" s="2" t="s">
        <v>4673</v>
      </c>
    </row>
    <row r="1105">
      <c r="A1105" s="2" t="s">
        <v>4674</v>
      </c>
      <c r="B1105" s="2" t="s">
        <v>4675</v>
      </c>
      <c r="C1105" s="2" t="s">
        <v>14</v>
      </c>
      <c r="D1105" s="2" t="s">
        <v>15</v>
      </c>
      <c r="E1105" s="2" t="s">
        <v>23</v>
      </c>
      <c r="F1105" s="3">
        <f>+5491144582777</f>
        <v>5491144582777</v>
      </c>
      <c r="G1105" s="2" t="s">
        <v>4676</v>
      </c>
      <c r="H1105" s="2" t="s">
        <v>25</v>
      </c>
      <c r="I1105" s="2" t="s">
        <v>241</v>
      </c>
      <c r="J1105" s="2" t="s">
        <v>241</v>
      </c>
      <c r="K1105" s="4">
        <v>46122.0</v>
      </c>
      <c r="L1105" s="2" t="s">
        <v>4677</v>
      </c>
    </row>
    <row r="1106">
      <c r="A1106" s="2" t="s">
        <v>4678</v>
      </c>
      <c r="B1106" s="2" t="s">
        <v>4679</v>
      </c>
      <c r="C1106" s="2" t="s">
        <v>14</v>
      </c>
      <c r="D1106" s="2" t="s">
        <v>15</v>
      </c>
      <c r="E1106" s="2" t="s">
        <v>23</v>
      </c>
      <c r="F1106" s="3">
        <f>+5491139022950</f>
        <v>5491139022950</v>
      </c>
      <c r="G1106" s="2" t="s">
        <v>4680</v>
      </c>
      <c r="H1106" s="2" t="s">
        <v>25</v>
      </c>
      <c r="I1106" s="2" t="s">
        <v>309</v>
      </c>
      <c r="J1106" s="2" t="s">
        <v>1449</v>
      </c>
      <c r="K1106" s="4">
        <v>46122.0</v>
      </c>
      <c r="L1106" s="2" t="s">
        <v>4681</v>
      </c>
    </row>
    <row r="1107">
      <c r="A1107" s="2" t="s">
        <v>4682</v>
      </c>
      <c r="B1107" s="2" t="s">
        <v>4683</v>
      </c>
      <c r="C1107" s="2" t="s">
        <v>14</v>
      </c>
      <c r="D1107" s="2" t="s">
        <v>15</v>
      </c>
      <c r="E1107" s="2" t="s">
        <v>23</v>
      </c>
      <c r="F1107" s="3">
        <f>+5491128515284</f>
        <v>5491128515284</v>
      </c>
      <c r="G1107" s="2" t="s">
        <v>4684</v>
      </c>
      <c r="H1107" s="2" t="s">
        <v>25</v>
      </c>
      <c r="I1107" s="2" t="s">
        <v>49</v>
      </c>
      <c r="J1107" s="2" t="s">
        <v>1631</v>
      </c>
      <c r="K1107" s="4">
        <v>46122.0</v>
      </c>
      <c r="L1107" s="2" t="s">
        <v>4685</v>
      </c>
    </row>
    <row r="1108">
      <c r="A1108" s="2" t="s">
        <v>4686</v>
      </c>
      <c r="B1108" s="2" t="s">
        <v>4687</v>
      </c>
      <c r="C1108" s="2" t="s">
        <v>14</v>
      </c>
      <c r="D1108" s="2" t="s">
        <v>15</v>
      </c>
      <c r="E1108" s="2" t="s">
        <v>23</v>
      </c>
      <c r="F1108" s="3">
        <f>+5492914043678</f>
        <v>5492914043678</v>
      </c>
      <c r="G1108" s="2" t="s">
        <v>4688</v>
      </c>
      <c r="H1108" s="2" t="s">
        <v>25</v>
      </c>
      <c r="I1108" s="2" t="s">
        <v>841</v>
      </c>
      <c r="J1108" s="2" t="s">
        <v>219</v>
      </c>
      <c r="K1108" s="4">
        <v>46122.0</v>
      </c>
      <c r="L1108" s="2" t="s">
        <v>4689</v>
      </c>
    </row>
    <row r="1109">
      <c r="A1109" s="2" t="s">
        <v>4690</v>
      </c>
      <c r="B1109" s="2" t="s">
        <v>4691</v>
      </c>
      <c r="C1109" s="2" t="s">
        <v>14</v>
      </c>
      <c r="D1109" s="2" t="s">
        <v>15</v>
      </c>
      <c r="E1109" s="2" t="s">
        <v>23</v>
      </c>
      <c r="F1109" s="3">
        <f>+5491138559450</f>
        <v>5491138559450</v>
      </c>
      <c r="G1109" s="2" t="s">
        <v>4692</v>
      </c>
      <c r="H1109" s="2" t="s">
        <v>32</v>
      </c>
      <c r="I1109" s="2" t="s">
        <v>25</v>
      </c>
      <c r="J1109" s="2" t="s">
        <v>4219</v>
      </c>
      <c r="K1109" s="4">
        <v>46122.0</v>
      </c>
      <c r="L1109" s="2" t="s">
        <v>4693</v>
      </c>
    </row>
    <row r="1110">
      <c r="A1110" s="2" t="s">
        <v>4694</v>
      </c>
      <c r="B1110" s="2" t="s">
        <v>4695</v>
      </c>
      <c r="C1110" s="2" t="s">
        <v>14</v>
      </c>
      <c r="D1110" s="2" t="s">
        <v>15</v>
      </c>
      <c r="E1110" s="2" t="s">
        <v>23</v>
      </c>
      <c r="F1110" s="3">
        <f>+5491127177742</f>
        <v>5491127177742</v>
      </c>
      <c r="G1110" s="2" t="s">
        <v>4696</v>
      </c>
      <c r="H1110" s="2" t="s">
        <v>25</v>
      </c>
      <c r="I1110" s="2" t="s">
        <v>236</v>
      </c>
      <c r="J1110" s="2" t="s">
        <v>236</v>
      </c>
      <c r="K1110" s="4">
        <v>46122.0</v>
      </c>
      <c r="L1110" s="2" t="s">
        <v>4697</v>
      </c>
    </row>
    <row r="1111">
      <c r="A1111" s="2" t="s">
        <v>4698</v>
      </c>
      <c r="B1111" s="2" t="s">
        <v>4699</v>
      </c>
      <c r="C1111" s="2" t="s">
        <v>14</v>
      </c>
      <c r="D1111" s="2" t="s">
        <v>15</v>
      </c>
      <c r="E1111" s="2" t="s">
        <v>23</v>
      </c>
      <c r="F1111" s="3">
        <f>+5492613031329</f>
        <v>5492613031329</v>
      </c>
      <c r="G1111" s="2" t="s">
        <v>4700</v>
      </c>
      <c r="H1111" s="2" t="s">
        <v>71</v>
      </c>
      <c r="I1111" s="2" t="s">
        <v>1625</v>
      </c>
      <c r="J1111" s="2" t="s">
        <v>1626</v>
      </c>
      <c r="K1111" s="4">
        <v>46121.0</v>
      </c>
      <c r="L1111" s="2" t="s">
        <v>4701</v>
      </c>
    </row>
    <row r="1112">
      <c r="A1112" s="2" t="s">
        <v>4702</v>
      </c>
      <c r="B1112" s="2" t="s">
        <v>4703</v>
      </c>
      <c r="C1112" s="2" t="s">
        <v>14</v>
      </c>
      <c r="D1112" s="2" t="s">
        <v>15</v>
      </c>
      <c r="E1112" s="2" t="s">
        <v>23</v>
      </c>
      <c r="F1112" s="3">
        <f>+5491168220028</f>
        <v>5491168220028</v>
      </c>
      <c r="G1112" s="2" t="s">
        <v>4704</v>
      </c>
      <c r="H1112" s="2" t="s">
        <v>25</v>
      </c>
      <c r="I1112" s="2" t="s">
        <v>357</v>
      </c>
      <c r="J1112" s="2" t="s">
        <v>413</v>
      </c>
      <c r="K1112" s="4">
        <v>46121.0</v>
      </c>
      <c r="L1112" s="2" t="s">
        <v>4705</v>
      </c>
    </row>
    <row r="1113">
      <c r="A1113" s="2" t="s">
        <v>4706</v>
      </c>
      <c r="B1113" s="2" t="s">
        <v>4707</v>
      </c>
      <c r="C1113" s="2" t="s">
        <v>14</v>
      </c>
      <c r="D1113" s="2" t="s">
        <v>15</v>
      </c>
      <c r="E1113" s="2" t="s">
        <v>23</v>
      </c>
      <c r="F1113" s="3">
        <f>+5491171529999</f>
        <v>5491171529999</v>
      </c>
      <c r="G1113" s="2" t="s">
        <v>4708</v>
      </c>
      <c r="H1113" s="2" t="s">
        <v>25</v>
      </c>
      <c r="I1113" s="2" t="s">
        <v>49</v>
      </c>
      <c r="J1113" s="2" t="s">
        <v>49</v>
      </c>
      <c r="K1113" s="4">
        <v>46121.0</v>
      </c>
      <c r="L1113" s="2" t="s">
        <v>4709</v>
      </c>
    </row>
    <row r="1114">
      <c r="A1114" s="2" t="s">
        <v>4710</v>
      </c>
      <c r="B1114" s="2" t="s">
        <v>4711</v>
      </c>
      <c r="C1114" s="2" t="s">
        <v>14</v>
      </c>
      <c r="D1114" s="2" t="s">
        <v>15</v>
      </c>
      <c r="E1114" s="2" t="s">
        <v>16</v>
      </c>
      <c r="F1114" s="3">
        <f>+5493513774540</f>
        <v>5493513774540</v>
      </c>
      <c r="G1114" s="2" t="s">
        <v>4712</v>
      </c>
      <c r="H1114" s="2" t="s">
        <v>18</v>
      </c>
      <c r="I1114" s="2" t="s">
        <v>18</v>
      </c>
      <c r="J1114" s="2" t="s">
        <v>4713</v>
      </c>
      <c r="K1114" s="4">
        <v>46121.0</v>
      </c>
      <c r="L1114" s="2" t="s">
        <v>4714</v>
      </c>
    </row>
    <row r="1115">
      <c r="A1115" s="2" t="s">
        <v>4715</v>
      </c>
      <c r="B1115" s="2" t="s">
        <v>4716</v>
      </c>
      <c r="C1115" s="2" t="s">
        <v>14</v>
      </c>
      <c r="D1115" s="2" t="s">
        <v>15</v>
      </c>
      <c r="E1115" s="2" t="s">
        <v>23</v>
      </c>
      <c r="F1115" s="3">
        <f>+5491168618052</f>
        <v>5491168618052</v>
      </c>
      <c r="G1115" s="2" t="s">
        <v>4717</v>
      </c>
      <c r="H1115" s="2" t="s">
        <v>25</v>
      </c>
      <c r="I1115" s="2" t="s">
        <v>309</v>
      </c>
      <c r="J1115" s="2" t="s">
        <v>1179</v>
      </c>
      <c r="K1115" s="4">
        <v>46121.0</v>
      </c>
      <c r="L1115" s="2" t="s">
        <v>4718</v>
      </c>
    </row>
    <row r="1116">
      <c r="A1116" s="2" t="s">
        <v>4719</v>
      </c>
      <c r="B1116" s="2" t="s">
        <v>4720</v>
      </c>
      <c r="C1116" s="2" t="s">
        <v>14</v>
      </c>
      <c r="D1116" s="2" t="s">
        <v>15</v>
      </c>
      <c r="E1116" s="2" t="s">
        <v>23</v>
      </c>
      <c r="F1116" s="3">
        <f>+5491144494909</f>
        <v>5491144494909</v>
      </c>
      <c r="G1116" s="2" t="s">
        <v>4721</v>
      </c>
      <c r="H1116" s="2" t="s">
        <v>25</v>
      </c>
      <c r="I1116" s="2" t="s">
        <v>49</v>
      </c>
      <c r="J1116" s="2" t="s">
        <v>1631</v>
      </c>
      <c r="K1116" s="4">
        <v>46121.0</v>
      </c>
      <c r="L1116" s="2" t="s">
        <v>4722</v>
      </c>
    </row>
    <row r="1117">
      <c r="A1117" s="2" t="s">
        <v>4723</v>
      </c>
      <c r="B1117" s="2" t="s">
        <v>4724</v>
      </c>
      <c r="C1117" s="2" t="s">
        <v>14</v>
      </c>
      <c r="D1117" s="2" t="s">
        <v>15</v>
      </c>
      <c r="E1117" s="2" t="s">
        <v>16</v>
      </c>
      <c r="F1117" s="3">
        <f>+5491158133066</f>
        <v>5491158133066</v>
      </c>
      <c r="G1117" s="2" t="s">
        <v>4725</v>
      </c>
      <c r="H1117" s="2" t="s">
        <v>32</v>
      </c>
      <c r="I1117" s="2" t="s">
        <v>25</v>
      </c>
      <c r="J1117" s="2" t="s">
        <v>4726</v>
      </c>
      <c r="K1117" s="4">
        <v>46121.0</v>
      </c>
      <c r="L1117" s="2" t="s">
        <v>4727</v>
      </c>
    </row>
    <row r="1118">
      <c r="A1118" s="2" t="s">
        <v>4728</v>
      </c>
      <c r="B1118" s="2" t="s">
        <v>4729</v>
      </c>
      <c r="C1118" s="2" t="s">
        <v>14</v>
      </c>
      <c r="D1118" s="2" t="s">
        <v>15</v>
      </c>
      <c r="E1118" s="2" t="s">
        <v>23</v>
      </c>
      <c r="F1118" s="3">
        <f>+5491136352845</f>
        <v>5491136352845</v>
      </c>
      <c r="G1118" s="2" t="s">
        <v>4730</v>
      </c>
      <c r="H1118" s="2" t="s">
        <v>25</v>
      </c>
      <c r="I1118" s="2" t="s">
        <v>241</v>
      </c>
      <c r="J1118" s="2" t="s">
        <v>2540</v>
      </c>
      <c r="K1118" s="4">
        <v>46121.0</v>
      </c>
      <c r="L1118" s="2" t="s">
        <v>4731</v>
      </c>
    </row>
    <row r="1119">
      <c r="A1119" s="2" t="s">
        <v>4732</v>
      </c>
      <c r="B1119" s="2" t="s">
        <v>4733</v>
      </c>
      <c r="C1119" s="2" t="s">
        <v>14</v>
      </c>
      <c r="D1119" s="2" t="s">
        <v>15</v>
      </c>
      <c r="E1119" s="2" t="s">
        <v>23</v>
      </c>
      <c r="F1119" s="3">
        <f>+5493516421244</f>
        <v>5493516421244</v>
      </c>
      <c r="G1119" s="2" t="s">
        <v>4734</v>
      </c>
      <c r="H1119" s="2" t="s">
        <v>18</v>
      </c>
      <c r="I1119" s="2" t="s">
        <v>18</v>
      </c>
      <c r="J1119" s="2" t="s">
        <v>2260</v>
      </c>
      <c r="K1119" s="4">
        <v>46121.0</v>
      </c>
      <c r="L1119" s="2" t="s">
        <v>4735</v>
      </c>
    </row>
    <row r="1120">
      <c r="A1120" s="2" t="s">
        <v>4736</v>
      </c>
      <c r="B1120" s="2" t="s">
        <v>4737</v>
      </c>
      <c r="C1120" s="2" t="s">
        <v>14</v>
      </c>
      <c r="D1120" s="2" t="s">
        <v>15</v>
      </c>
      <c r="E1120" s="2" t="s">
        <v>23</v>
      </c>
      <c r="F1120" s="3">
        <f>+5491130093029</f>
        <v>5491130093029</v>
      </c>
      <c r="G1120" s="2" t="s">
        <v>4738</v>
      </c>
      <c r="H1120" s="2" t="s">
        <v>25</v>
      </c>
      <c r="I1120" s="2" t="s">
        <v>236</v>
      </c>
      <c r="J1120" s="2" t="s">
        <v>4539</v>
      </c>
      <c r="K1120" s="4">
        <v>46121.0</v>
      </c>
      <c r="L1120" s="2" t="s">
        <v>4739</v>
      </c>
    </row>
    <row r="1121">
      <c r="A1121" s="2" t="s">
        <v>4740</v>
      </c>
      <c r="B1121" s="2" t="s">
        <v>4741</v>
      </c>
      <c r="C1121" s="2" t="s">
        <v>14</v>
      </c>
      <c r="D1121" s="2" t="s">
        <v>15</v>
      </c>
      <c r="E1121" s="2" t="s">
        <v>23</v>
      </c>
      <c r="F1121" s="3">
        <f>+5491162444934</f>
        <v>5491162444934</v>
      </c>
      <c r="G1121" s="2" t="s">
        <v>4742</v>
      </c>
      <c r="H1121" s="2" t="s">
        <v>25</v>
      </c>
      <c r="I1121" s="2" t="s">
        <v>230</v>
      </c>
      <c r="J1121" s="2" t="s">
        <v>4622</v>
      </c>
      <c r="K1121" s="4">
        <v>46121.0</v>
      </c>
      <c r="L1121" s="2" t="s">
        <v>4743</v>
      </c>
    </row>
    <row r="1122">
      <c r="A1122" s="2" t="s">
        <v>4744</v>
      </c>
      <c r="B1122" s="2" t="s">
        <v>4745</v>
      </c>
      <c r="C1122" s="2" t="s">
        <v>14</v>
      </c>
      <c r="D1122" s="2" t="s">
        <v>15</v>
      </c>
      <c r="E1122" s="2" t="s">
        <v>23</v>
      </c>
      <c r="F1122" s="3">
        <f>+5492615908924</f>
        <v>5492615908924</v>
      </c>
      <c r="G1122" s="2" t="s">
        <v>4746</v>
      </c>
      <c r="H1122" s="2" t="s">
        <v>71</v>
      </c>
      <c r="I1122" s="2" t="s">
        <v>1156</v>
      </c>
      <c r="J1122" s="2" t="s">
        <v>1156</v>
      </c>
      <c r="K1122" s="4">
        <v>46121.0</v>
      </c>
      <c r="L1122" s="2" t="s">
        <v>4747</v>
      </c>
    </row>
    <row r="1123">
      <c r="A1123" s="2" t="s">
        <v>4748</v>
      </c>
      <c r="B1123" s="2" t="s">
        <v>4749</v>
      </c>
      <c r="C1123" s="2" t="s">
        <v>14</v>
      </c>
      <c r="D1123" s="2" t="s">
        <v>15</v>
      </c>
      <c r="E1123" s="2" t="s">
        <v>23</v>
      </c>
      <c r="F1123" s="3">
        <f>+54901168878577</f>
        <v>54901168878577</v>
      </c>
      <c r="G1123" s="2" t="s">
        <v>4750</v>
      </c>
      <c r="H1123" s="2" t="s">
        <v>32</v>
      </c>
      <c r="I1123" s="2" t="s">
        <v>25</v>
      </c>
      <c r="J1123" s="2" t="s">
        <v>4751</v>
      </c>
      <c r="K1123" s="4">
        <v>46121.0</v>
      </c>
      <c r="L1123" s="2" t="s">
        <v>4752</v>
      </c>
    </row>
    <row r="1124">
      <c r="A1124" s="2" t="s">
        <v>4753</v>
      </c>
      <c r="B1124" s="2" t="s">
        <v>4754</v>
      </c>
      <c r="C1124" s="2" t="s">
        <v>14</v>
      </c>
      <c r="D1124" s="2" t="s">
        <v>15</v>
      </c>
      <c r="E1124" s="2" t="s">
        <v>23</v>
      </c>
      <c r="F1124" s="3">
        <f>+5491122779740</f>
        <v>5491122779740</v>
      </c>
      <c r="G1124" s="2" t="s">
        <v>4755</v>
      </c>
      <c r="H1124" s="2" t="s">
        <v>32</v>
      </c>
      <c r="I1124" s="2" t="s">
        <v>25</v>
      </c>
      <c r="J1124" s="2" t="s">
        <v>611</v>
      </c>
      <c r="K1124" s="4">
        <v>46121.0</v>
      </c>
      <c r="L1124" s="2" t="s">
        <v>4756</v>
      </c>
    </row>
    <row r="1125">
      <c r="A1125" s="2" t="s">
        <v>4757</v>
      </c>
      <c r="B1125" s="2" t="s">
        <v>4758</v>
      </c>
      <c r="C1125" s="2" t="s">
        <v>14</v>
      </c>
      <c r="D1125" s="2" t="s">
        <v>15</v>
      </c>
      <c r="E1125" s="2" t="s">
        <v>23</v>
      </c>
      <c r="F1125" s="3">
        <f>+5491125482742</f>
        <v>5491125482742</v>
      </c>
      <c r="G1125" s="2" t="s">
        <v>4759</v>
      </c>
      <c r="H1125" s="2" t="s">
        <v>25</v>
      </c>
      <c r="I1125" s="2" t="s">
        <v>230</v>
      </c>
      <c r="J1125" s="2" t="s">
        <v>231</v>
      </c>
      <c r="K1125" s="4">
        <v>46121.0</v>
      </c>
      <c r="L1125" s="2" t="s">
        <v>4760</v>
      </c>
    </row>
    <row r="1126">
      <c r="A1126" s="2" t="s">
        <v>4761</v>
      </c>
      <c r="B1126" s="2" t="s">
        <v>4762</v>
      </c>
      <c r="C1126" s="2" t="s">
        <v>14</v>
      </c>
      <c r="D1126" s="2" t="s">
        <v>15</v>
      </c>
      <c r="E1126" s="2" t="s">
        <v>23</v>
      </c>
      <c r="F1126" s="3">
        <f>+5491126071775</f>
        <v>5491126071775</v>
      </c>
      <c r="G1126" s="2" t="s">
        <v>4763</v>
      </c>
      <c r="H1126" s="2" t="s">
        <v>32</v>
      </c>
      <c r="I1126" s="2" t="s">
        <v>25</v>
      </c>
      <c r="J1126" s="2" t="s">
        <v>874</v>
      </c>
      <c r="K1126" s="4">
        <v>46121.0</v>
      </c>
      <c r="L1126" s="2" t="s">
        <v>4764</v>
      </c>
    </row>
    <row r="1127">
      <c r="A1127" s="2" t="s">
        <v>4765</v>
      </c>
      <c r="B1127" s="2" t="s">
        <v>4766</v>
      </c>
      <c r="C1127" s="2" t="s">
        <v>14</v>
      </c>
      <c r="D1127" s="2" t="s">
        <v>15</v>
      </c>
      <c r="E1127" s="2" t="s">
        <v>16</v>
      </c>
      <c r="F1127" s="3">
        <f>+5493543616055</f>
        <v>5493543616055</v>
      </c>
      <c r="G1127" s="2" t="s">
        <v>4767</v>
      </c>
      <c r="H1127" s="2" t="s">
        <v>18</v>
      </c>
      <c r="I1127" s="2" t="s">
        <v>589</v>
      </c>
      <c r="J1127" s="2" t="s">
        <v>589</v>
      </c>
      <c r="K1127" s="4">
        <v>46121.0</v>
      </c>
      <c r="L1127" s="2" t="s">
        <v>4768</v>
      </c>
    </row>
    <row r="1128">
      <c r="A1128" s="2" t="s">
        <v>4769</v>
      </c>
      <c r="B1128" s="2" t="s">
        <v>4770</v>
      </c>
      <c r="C1128" s="2" t="s">
        <v>14</v>
      </c>
      <c r="D1128" s="2" t="s">
        <v>15</v>
      </c>
      <c r="E1128" s="2" t="s">
        <v>23</v>
      </c>
      <c r="F1128" s="3">
        <f>+5493513589232</f>
        <v>5493513589232</v>
      </c>
      <c r="G1128" s="2" t="s">
        <v>4771</v>
      </c>
      <c r="H1128" s="2" t="s">
        <v>18</v>
      </c>
      <c r="I1128" s="2" t="s">
        <v>18</v>
      </c>
      <c r="J1128" s="2" t="s">
        <v>2281</v>
      </c>
      <c r="K1128" s="4">
        <v>46121.0</v>
      </c>
      <c r="L1128" s="2" t="s">
        <v>4772</v>
      </c>
    </row>
    <row r="1129">
      <c r="A1129" s="2" t="s">
        <v>4773</v>
      </c>
      <c r="B1129" s="2" t="s">
        <v>4774</v>
      </c>
      <c r="C1129" s="2" t="s">
        <v>14</v>
      </c>
      <c r="D1129" s="2" t="s">
        <v>15</v>
      </c>
      <c r="E1129" s="2" t="s">
        <v>23</v>
      </c>
      <c r="F1129" s="3">
        <f>+5491134688208</f>
        <v>5491134688208</v>
      </c>
      <c r="G1129" s="2" t="s">
        <v>4775</v>
      </c>
      <c r="H1129" s="2" t="s">
        <v>25</v>
      </c>
      <c r="I1129" s="2" t="s">
        <v>1297</v>
      </c>
      <c r="J1129" s="2" t="s">
        <v>1297</v>
      </c>
      <c r="K1129" s="4">
        <v>46121.0</v>
      </c>
      <c r="L1129" s="2" t="s">
        <v>4776</v>
      </c>
    </row>
    <row r="1130">
      <c r="A1130" s="2" t="s">
        <v>4777</v>
      </c>
      <c r="B1130" s="2" t="s">
        <v>4778</v>
      </c>
      <c r="C1130" s="2" t="s">
        <v>14</v>
      </c>
      <c r="D1130" s="2" t="s">
        <v>15</v>
      </c>
      <c r="E1130" s="2" t="s">
        <v>23</v>
      </c>
      <c r="F1130" s="3">
        <f>+5491157526866</f>
        <v>5491157526866</v>
      </c>
      <c r="G1130" s="2" t="s">
        <v>4779</v>
      </c>
      <c r="H1130" s="2" t="s">
        <v>25</v>
      </c>
      <c r="I1130" s="2" t="s">
        <v>550</v>
      </c>
      <c r="J1130" s="2" t="s">
        <v>1113</v>
      </c>
      <c r="K1130" s="4">
        <v>46121.0</v>
      </c>
      <c r="L1130" s="2" t="s">
        <v>2360</v>
      </c>
    </row>
    <row r="1131">
      <c r="A1131" s="2" t="s">
        <v>4780</v>
      </c>
      <c r="B1131" s="2" t="s">
        <v>4781</v>
      </c>
      <c r="C1131" s="2" t="s">
        <v>14</v>
      </c>
      <c r="D1131" s="2" t="s">
        <v>15</v>
      </c>
      <c r="E1131" s="2" t="s">
        <v>23</v>
      </c>
      <c r="F1131" s="3">
        <f>+5493571456163</f>
        <v>5493571456163</v>
      </c>
      <c r="G1131" s="2" t="s">
        <v>4782</v>
      </c>
      <c r="H1131" s="2" t="s">
        <v>18</v>
      </c>
      <c r="I1131" s="2" t="s">
        <v>18</v>
      </c>
      <c r="J1131" s="2" t="s">
        <v>712</v>
      </c>
      <c r="K1131" s="4">
        <v>46121.0</v>
      </c>
      <c r="L1131" s="2" t="s">
        <v>4783</v>
      </c>
    </row>
    <row r="1132">
      <c r="A1132" s="2" t="s">
        <v>4784</v>
      </c>
      <c r="B1132" s="2" t="s">
        <v>4785</v>
      </c>
      <c r="C1132" s="2" t="s">
        <v>14</v>
      </c>
      <c r="D1132" s="2" t="s">
        <v>15</v>
      </c>
      <c r="E1132" s="2" t="s">
        <v>23</v>
      </c>
      <c r="F1132" s="3">
        <f>+5492616692244</f>
        <v>5492616692244</v>
      </c>
      <c r="G1132" s="2" t="s">
        <v>4786</v>
      </c>
      <c r="H1132" s="2" t="s">
        <v>71</v>
      </c>
      <c r="I1132" s="2" t="s">
        <v>71</v>
      </c>
      <c r="J1132" s="2" t="s">
        <v>1302</v>
      </c>
      <c r="K1132" s="4">
        <v>46121.0</v>
      </c>
      <c r="L1132" s="2" t="s">
        <v>4787</v>
      </c>
    </row>
    <row r="1133">
      <c r="A1133" s="2" t="s">
        <v>4788</v>
      </c>
      <c r="B1133" s="2" t="s">
        <v>4789</v>
      </c>
      <c r="C1133" s="2" t="s">
        <v>14</v>
      </c>
      <c r="D1133" s="2" t="s">
        <v>15</v>
      </c>
      <c r="E1133" s="2" t="s">
        <v>23</v>
      </c>
      <c r="F1133" s="3">
        <f>+5491157286286</f>
        <v>5491157286286</v>
      </c>
      <c r="G1133" s="2" t="s">
        <v>4790</v>
      </c>
      <c r="H1133" s="2" t="s">
        <v>25</v>
      </c>
      <c r="I1133" s="2" t="s">
        <v>97</v>
      </c>
      <c r="J1133" s="2" t="s">
        <v>97</v>
      </c>
      <c r="K1133" s="4">
        <v>46121.0</v>
      </c>
      <c r="L1133" s="2" t="s">
        <v>4791</v>
      </c>
    </row>
    <row r="1134">
      <c r="A1134" s="2" t="s">
        <v>4792</v>
      </c>
      <c r="B1134" s="2" t="s">
        <v>4793</v>
      </c>
      <c r="C1134" s="2" t="s">
        <v>185</v>
      </c>
      <c r="D1134" s="2" t="s">
        <v>15</v>
      </c>
      <c r="E1134" s="2" t="s">
        <v>23</v>
      </c>
      <c r="F1134" s="3">
        <f>+5491121745301</f>
        <v>5491121745301</v>
      </c>
      <c r="G1134" s="2" t="s">
        <v>4794</v>
      </c>
      <c r="H1134" s="2" t="s">
        <v>32</v>
      </c>
      <c r="I1134" s="2" t="s">
        <v>25</v>
      </c>
      <c r="J1134" s="2" t="s">
        <v>2044</v>
      </c>
      <c r="K1134" s="4">
        <v>46121.0</v>
      </c>
      <c r="L1134" s="2" t="s">
        <v>4795</v>
      </c>
    </row>
    <row r="1135">
      <c r="A1135" s="2" t="s">
        <v>4796</v>
      </c>
      <c r="B1135" s="2" t="s">
        <v>4797</v>
      </c>
      <c r="C1135" s="2" t="s">
        <v>14</v>
      </c>
      <c r="D1135" s="2" t="s">
        <v>15</v>
      </c>
      <c r="E1135" s="2" t="s">
        <v>23</v>
      </c>
      <c r="F1135" s="3">
        <f>+5491161583732</f>
        <v>5491161583732</v>
      </c>
      <c r="G1135" s="2" t="s">
        <v>4798</v>
      </c>
      <c r="H1135" s="2" t="s">
        <v>25</v>
      </c>
      <c r="I1135" s="2" t="s">
        <v>49</v>
      </c>
      <c r="J1135" s="2" t="s">
        <v>2031</v>
      </c>
      <c r="K1135" s="4">
        <v>46121.0</v>
      </c>
      <c r="L1135" s="2" t="s">
        <v>4799</v>
      </c>
    </row>
    <row r="1136">
      <c r="A1136" s="2" t="s">
        <v>4800</v>
      </c>
      <c r="B1136" s="2" t="s">
        <v>4801</v>
      </c>
      <c r="C1136" s="2" t="s">
        <v>14</v>
      </c>
      <c r="D1136" s="2" t="s">
        <v>15</v>
      </c>
      <c r="E1136" s="2" t="s">
        <v>23</v>
      </c>
      <c r="F1136" s="3">
        <f>+5491121135677</f>
        <v>5491121135677</v>
      </c>
      <c r="G1136" s="2" t="s">
        <v>4802</v>
      </c>
      <c r="H1136" s="2" t="s">
        <v>25</v>
      </c>
      <c r="I1136" s="2" t="s">
        <v>550</v>
      </c>
      <c r="J1136" s="2" t="s">
        <v>1113</v>
      </c>
      <c r="K1136" s="4">
        <v>46121.0</v>
      </c>
      <c r="L1136" s="2" t="s">
        <v>4803</v>
      </c>
    </row>
    <row r="1137">
      <c r="A1137" s="2" t="s">
        <v>4804</v>
      </c>
      <c r="B1137" s="2" t="s">
        <v>4805</v>
      </c>
      <c r="C1137" s="2" t="s">
        <v>14</v>
      </c>
      <c r="D1137" s="2" t="s">
        <v>15</v>
      </c>
      <c r="E1137" s="2" t="s">
        <v>23</v>
      </c>
      <c r="F1137" s="3">
        <f>+5491178285092</f>
        <v>5491178285092</v>
      </c>
      <c r="G1137" s="2" t="s">
        <v>4806</v>
      </c>
      <c r="H1137" s="2" t="s">
        <v>25</v>
      </c>
      <c r="I1137" s="2" t="s">
        <v>230</v>
      </c>
      <c r="J1137" s="2" t="s">
        <v>231</v>
      </c>
      <c r="K1137" s="4">
        <v>46121.0</v>
      </c>
      <c r="L1137" s="2" t="s">
        <v>4807</v>
      </c>
    </row>
    <row r="1138">
      <c r="A1138" s="2" t="s">
        <v>4808</v>
      </c>
      <c r="B1138" s="2" t="s">
        <v>4809</v>
      </c>
      <c r="C1138" s="2" t="s">
        <v>14</v>
      </c>
      <c r="D1138" s="2" t="s">
        <v>15</v>
      </c>
      <c r="E1138" s="2" t="s">
        <v>23</v>
      </c>
      <c r="F1138" s="3">
        <f>+5491160210528</f>
        <v>5491160210528</v>
      </c>
      <c r="G1138" s="2" t="s">
        <v>4810</v>
      </c>
      <c r="H1138" s="2" t="s">
        <v>25</v>
      </c>
      <c r="I1138" s="2" t="s">
        <v>118</v>
      </c>
      <c r="J1138" s="2" t="s">
        <v>134</v>
      </c>
      <c r="K1138" s="4">
        <v>46121.0</v>
      </c>
      <c r="L1138" s="2" t="s">
        <v>4811</v>
      </c>
    </row>
    <row r="1139">
      <c r="A1139" s="2" t="s">
        <v>4812</v>
      </c>
      <c r="B1139" s="2" t="s">
        <v>4813</v>
      </c>
      <c r="C1139" s="2" t="s">
        <v>14</v>
      </c>
      <c r="D1139" s="2" t="s">
        <v>15</v>
      </c>
      <c r="E1139" s="2" t="s">
        <v>16</v>
      </c>
      <c r="F1139" s="3">
        <f>+5491135140108</f>
        <v>5491135140108</v>
      </c>
      <c r="G1139" s="2" t="s">
        <v>4814</v>
      </c>
      <c r="H1139" s="2" t="s">
        <v>32</v>
      </c>
      <c r="I1139" s="2" t="s">
        <v>25</v>
      </c>
      <c r="J1139" s="2" t="s">
        <v>759</v>
      </c>
      <c r="K1139" s="4">
        <v>46121.0</v>
      </c>
      <c r="L1139" s="2" t="s">
        <v>4815</v>
      </c>
    </row>
    <row r="1140">
      <c r="A1140" s="2" t="s">
        <v>4816</v>
      </c>
      <c r="B1140" s="2" t="s">
        <v>4817</v>
      </c>
      <c r="C1140" s="2" t="s">
        <v>14</v>
      </c>
      <c r="D1140" s="2" t="s">
        <v>15</v>
      </c>
      <c r="E1140" s="2" t="s">
        <v>23</v>
      </c>
      <c r="F1140" s="3">
        <f>+542617770120</f>
        <v>542617770120</v>
      </c>
      <c r="G1140" s="2" t="s">
        <v>4818</v>
      </c>
      <c r="H1140" s="2" t="s">
        <v>71</v>
      </c>
      <c r="I1140" s="2" t="s">
        <v>72</v>
      </c>
      <c r="J1140" s="2" t="s">
        <v>336</v>
      </c>
      <c r="K1140" s="4">
        <v>46121.0</v>
      </c>
      <c r="L1140" s="2" t="s">
        <v>4819</v>
      </c>
    </row>
    <row r="1141">
      <c r="A1141" s="2" t="s">
        <v>4820</v>
      </c>
      <c r="B1141" s="2" t="s">
        <v>4821</v>
      </c>
      <c r="C1141" s="2" t="s">
        <v>14</v>
      </c>
      <c r="D1141" s="2" t="s">
        <v>15</v>
      </c>
      <c r="E1141" s="2" t="s">
        <v>23</v>
      </c>
      <c r="F1141" s="3">
        <f>+5491167145946</f>
        <v>5491167145946</v>
      </c>
      <c r="G1141" s="2" t="s">
        <v>4822</v>
      </c>
      <c r="H1141" s="2" t="s">
        <v>25</v>
      </c>
      <c r="I1141" s="2" t="s">
        <v>49</v>
      </c>
      <c r="J1141" s="2" t="s">
        <v>49</v>
      </c>
      <c r="K1141" s="4">
        <v>46121.0</v>
      </c>
      <c r="L1141" s="2" t="s">
        <v>4823</v>
      </c>
    </row>
    <row r="1142">
      <c r="A1142" s="2" t="s">
        <v>4824</v>
      </c>
      <c r="B1142" s="2" t="s">
        <v>4825</v>
      </c>
      <c r="C1142" s="2" t="s">
        <v>14</v>
      </c>
      <c r="D1142" s="2" t="s">
        <v>15</v>
      </c>
      <c r="E1142" s="2" t="s">
        <v>23</v>
      </c>
      <c r="F1142" s="3">
        <f>+5492914610289</f>
        <v>5492914610289</v>
      </c>
      <c r="G1142" s="2" t="s">
        <v>4826</v>
      </c>
      <c r="H1142" s="2" t="s">
        <v>25</v>
      </c>
      <c r="I1142" s="2" t="s">
        <v>841</v>
      </c>
      <c r="J1142" s="2" t="s">
        <v>118</v>
      </c>
      <c r="K1142" s="4">
        <v>46121.0</v>
      </c>
      <c r="L1142" s="2" t="s">
        <v>4827</v>
      </c>
    </row>
    <row r="1143">
      <c r="A1143" s="2" t="s">
        <v>4828</v>
      </c>
      <c r="B1143" s="2" t="s">
        <v>4829</v>
      </c>
      <c r="C1143" s="2" t="s">
        <v>14</v>
      </c>
      <c r="D1143" s="2" t="s">
        <v>15</v>
      </c>
      <c r="E1143" s="2" t="s">
        <v>23</v>
      </c>
      <c r="F1143" s="3">
        <f>+5493513946268</f>
        <v>5493513946268</v>
      </c>
      <c r="G1143" s="2" t="s">
        <v>4830</v>
      </c>
      <c r="H1143" s="2" t="s">
        <v>18</v>
      </c>
      <c r="I1143" s="2" t="s">
        <v>18</v>
      </c>
      <c r="J1143" s="2" t="s">
        <v>2281</v>
      </c>
      <c r="K1143" s="4">
        <v>46121.0</v>
      </c>
      <c r="L1143" s="2" t="s">
        <v>4831</v>
      </c>
    </row>
    <row r="1144">
      <c r="A1144" s="2" t="s">
        <v>4832</v>
      </c>
      <c r="B1144" s="2" t="s">
        <v>4833</v>
      </c>
      <c r="C1144" s="2" t="s">
        <v>14</v>
      </c>
      <c r="D1144" s="2" t="s">
        <v>15</v>
      </c>
      <c r="E1144" s="2" t="s">
        <v>23</v>
      </c>
      <c r="F1144" s="3">
        <f>+5491144209793</f>
        <v>5491144209793</v>
      </c>
      <c r="G1144" s="2" t="s">
        <v>4834</v>
      </c>
      <c r="H1144" s="2" t="s">
        <v>25</v>
      </c>
      <c r="I1144" s="2" t="s">
        <v>26</v>
      </c>
      <c r="J1144" s="2" t="s">
        <v>4835</v>
      </c>
      <c r="K1144" s="4">
        <v>46121.0</v>
      </c>
      <c r="L1144" s="2" t="s">
        <v>4836</v>
      </c>
    </row>
    <row r="1145">
      <c r="A1145" s="2" t="s">
        <v>4837</v>
      </c>
      <c r="B1145" s="2" t="s">
        <v>4838</v>
      </c>
      <c r="C1145" s="2" t="s">
        <v>14</v>
      </c>
      <c r="D1145" s="2" t="s">
        <v>15</v>
      </c>
      <c r="E1145" s="2" t="s">
        <v>16</v>
      </c>
      <c r="F1145" s="3">
        <f>+5491149868442</f>
        <v>5491149868442</v>
      </c>
      <c r="G1145" s="2" t="s">
        <v>4839</v>
      </c>
      <c r="H1145" s="2" t="s">
        <v>32</v>
      </c>
      <c r="I1145" s="2" t="s">
        <v>25</v>
      </c>
      <c r="J1145" s="2" t="s">
        <v>707</v>
      </c>
      <c r="K1145" s="4">
        <v>46121.0</v>
      </c>
      <c r="L1145" s="2" t="s">
        <v>4840</v>
      </c>
    </row>
    <row r="1146">
      <c r="A1146" s="2" t="s">
        <v>4841</v>
      </c>
      <c r="B1146" s="2" t="s">
        <v>4842</v>
      </c>
      <c r="C1146" s="2" t="s">
        <v>14</v>
      </c>
      <c r="D1146" s="2" t="s">
        <v>15</v>
      </c>
      <c r="E1146" s="2" t="s">
        <v>16</v>
      </c>
      <c r="F1146" s="3">
        <f>+5491124603342</f>
        <v>5491124603342</v>
      </c>
      <c r="G1146" s="2" t="s">
        <v>4843</v>
      </c>
      <c r="H1146" s="2" t="s">
        <v>32</v>
      </c>
      <c r="I1146" s="2" t="s">
        <v>25</v>
      </c>
      <c r="J1146" s="2" t="s">
        <v>403</v>
      </c>
      <c r="K1146" s="4">
        <v>46121.0</v>
      </c>
      <c r="L1146" s="2" t="s">
        <v>4844</v>
      </c>
    </row>
    <row r="1147">
      <c r="A1147" s="2" t="s">
        <v>4845</v>
      </c>
      <c r="B1147" s="2" t="s">
        <v>4846</v>
      </c>
      <c r="C1147" s="2" t="s">
        <v>14</v>
      </c>
      <c r="D1147" s="2" t="s">
        <v>15</v>
      </c>
      <c r="E1147" s="2" t="s">
        <v>23</v>
      </c>
      <c r="F1147" s="3">
        <f>+5491130605252</f>
        <v>5491130605252</v>
      </c>
      <c r="G1147" s="2" t="s">
        <v>4847</v>
      </c>
      <c r="H1147" s="2" t="s">
        <v>25</v>
      </c>
      <c r="I1147" s="2" t="s">
        <v>118</v>
      </c>
      <c r="J1147" s="2" t="s">
        <v>381</v>
      </c>
      <c r="K1147" s="4">
        <v>46121.0</v>
      </c>
      <c r="L1147" s="2" t="s">
        <v>4848</v>
      </c>
    </row>
    <row r="1148">
      <c r="A1148" s="2" t="s">
        <v>4849</v>
      </c>
      <c r="B1148" s="2" t="s">
        <v>4850</v>
      </c>
      <c r="C1148" s="2" t="s">
        <v>14</v>
      </c>
      <c r="D1148" s="2" t="s">
        <v>15</v>
      </c>
      <c r="E1148" s="2" t="s">
        <v>23</v>
      </c>
      <c r="F1148" s="3">
        <f>+5491138830549</f>
        <v>5491138830549</v>
      </c>
      <c r="G1148" s="2" t="s">
        <v>4851</v>
      </c>
      <c r="H1148" s="2" t="s">
        <v>25</v>
      </c>
      <c r="I1148" s="2" t="s">
        <v>38</v>
      </c>
      <c r="J1148" s="2" t="s">
        <v>103</v>
      </c>
      <c r="K1148" s="4">
        <v>46121.0</v>
      </c>
      <c r="L1148" s="2" t="s">
        <v>4852</v>
      </c>
    </row>
    <row r="1149">
      <c r="A1149" s="2" t="s">
        <v>4853</v>
      </c>
      <c r="B1149" s="2" t="s">
        <v>4854</v>
      </c>
      <c r="C1149" s="2" t="s">
        <v>14</v>
      </c>
      <c r="D1149" s="2" t="s">
        <v>15</v>
      </c>
      <c r="E1149" s="2" t="s">
        <v>23</v>
      </c>
      <c r="F1149" s="3">
        <f>+5491131906697</f>
        <v>5491131906697</v>
      </c>
      <c r="G1149" s="2" t="s">
        <v>4855</v>
      </c>
      <c r="H1149" s="2" t="s">
        <v>32</v>
      </c>
      <c r="I1149" s="2" t="s">
        <v>25</v>
      </c>
      <c r="J1149" s="2" t="s">
        <v>707</v>
      </c>
      <c r="K1149" s="4">
        <v>46121.0</v>
      </c>
      <c r="L1149" s="2" t="s">
        <v>4856</v>
      </c>
    </row>
    <row r="1150">
      <c r="A1150" s="2" t="s">
        <v>4857</v>
      </c>
      <c r="B1150" s="2" t="s">
        <v>4858</v>
      </c>
      <c r="C1150" s="2" t="s">
        <v>14</v>
      </c>
      <c r="D1150" s="2" t="s">
        <v>15</v>
      </c>
      <c r="E1150" s="2" t="s">
        <v>23</v>
      </c>
      <c r="F1150" s="3">
        <f>+5491167190061</f>
        <v>5491167190061</v>
      </c>
      <c r="G1150" s="2" t="s">
        <v>4859</v>
      </c>
      <c r="H1150" s="2" t="s">
        <v>32</v>
      </c>
      <c r="I1150" s="2" t="s">
        <v>25</v>
      </c>
      <c r="J1150" s="2" t="s">
        <v>559</v>
      </c>
      <c r="K1150" s="4">
        <v>46121.0</v>
      </c>
      <c r="L1150" s="2" t="s">
        <v>4860</v>
      </c>
    </row>
    <row r="1151">
      <c r="A1151" s="2" t="s">
        <v>4861</v>
      </c>
      <c r="B1151" s="2" t="s">
        <v>4862</v>
      </c>
      <c r="C1151" s="2" t="s">
        <v>14</v>
      </c>
      <c r="D1151" s="2" t="s">
        <v>15</v>
      </c>
      <c r="E1151" s="2" t="s">
        <v>16</v>
      </c>
      <c r="F1151" s="3">
        <f>+5491169369642</f>
        <v>5491169369642</v>
      </c>
      <c r="G1151" s="2" t="s">
        <v>4863</v>
      </c>
      <c r="H1151" s="2" t="s">
        <v>32</v>
      </c>
      <c r="I1151" s="2" t="s">
        <v>25</v>
      </c>
      <c r="J1151" s="2" t="s">
        <v>792</v>
      </c>
      <c r="K1151" s="4">
        <v>46121.0</v>
      </c>
      <c r="L1151" s="2" t="s">
        <v>4864</v>
      </c>
    </row>
    <row r="1152">
      <c r="A1152" s="2" t="s">
        <v>4865</v>
      </c>
      <c r="B1152" s="2" t="s">
        <v>4866</v>
      </c>
      <c r="C1152" s="2" t="s">
        <v>14</v>
      </c>
      <c r="D1152" s="2" t="s">
        <v>15</v>
      </c>
      <c r="E1152" s="2" t="s">
        <v>23</v>
      </c>
      <c r="F1152" s="3">
        <f>+5491121745921</f>
        <v>5491121745921</v>
      </c>
      <c r="G1152" s="2" t="s">
        <v>4867</v>
      </c>
      <c r="H1152" s="2" t="s">
        <v>25</v>
      </c>
      <c r="I1152" s="2" t="s">
        <v>160</v>
      </c>
      <c r="J1152" s="2" t="s">
        <v>160</v>
      </c>
      <c r="K1152" s="4">
        <v>46121.0</v>
      </c>
      <c r="L1152" s="2" t="s">
        <v>4868</v>
      </c>
    </row>
    <row r="1153">
      <c r="A1153" s="2" t="s">
        <v>4869</v>
      </c>
      <c r="B1153" s="2" t="s">
        <v>4870</v>
      </c>
      <c r="C1153" s="2" t="s">
        <v>14</v>
      </c>
      <c r="D1153" s="2" t="s">
        <v>15</v>
      </c>
      <c r="E1153" s="2" t="s">
        <v>23</v>
      </c>
      <c r="F1153" s="3">
        <f>+5493515589674</f>
        <v>5493515589674</v>
      </c>
      <c r="G1153" s="2" t="s">
        <v>4871</v>
      </c>
      <c r="H1153" s="2" t="s">
        <v>18</v>
      </c>
      <c r="I1153" s="2" t="s">
        <v>535</v>
      </c>
      <c r="J1153" s="2" t="s">
        <v>541</v>
      </c>
      <c r="K1153" s="4">
        <v>46121.0</v>
      </c>
      <c r="L1153" s="2" t="s">
        <v>4872</v>
      </c>
    </row>
    <row r="1154">
      <c r="A1154" s="2" t="s">
        <v>4873</v>
      </c>
      <c r="B1154" s="2" t="s">
        <v>4874</v>
      </c>
      <c r="C1154" s="2" t="s">
        <v>14</v>
      </c>
      <c r="D1154" s="2" t="s">
        <v>15</v>
      </c>
      <c r="E1154" s="2" t="s">
        <v>16</v>
      </c>
      <c r="F1154" s="3">
        <f>+5493518780751</f>
        <v>5493518780751</v>
      </c>
      <c r="G1154" s="2" t="s">
        <v>4875</v>
      </c>
      <c r="H1154" s="2" t="s">
        <v>18</v>
      </c>
      <c r="I1154" s="2" t="s">
        <v>18</v>
      </c>
      <c r="J1154" s="2" t="s">
        <v>4876</v>
      </c>
      <c r="K1154" s="4">
        <v>46121.0</v>
      </c>
      <c r="L1154" s="2" t="s">
        <v>4877</v>
      </c>
    </row>
    <row r="1155">
      <c r="A1155" s="2" t="s">
        <v>4878</v>
      </c>
      <c r="B1155" s="2" t="s">
        <v>4879</v>
      </c>
      <c r="C1155" s="2" t="s">
        <v>14</v>
      </c>
      <c r="D1155" s="2" t="s">
        <v>15</v>
      </c>
      <c r="E1155" s="2" t="s">
        <v>23</v>
      </c>
      <c r="F1155" s="3">
        <f>+5491160427990</f>
        <v>5491160427990</v>
      </c>
      <c r="G1155" s="2" t="s">
        <v>4880</v>
      </c>
      <c r="H1155" s="2" t="s">
        <v>25</v>
      </c>
      <c r="I1155" s="2" t="s">
        <v>764</v>
      </c>
      <c r="J1155" s="2" t="s">
        <v>764</v>
      </c>
      <c r="K1155" s="4">
        <v>46121.0</v>
      </c>
      <c r="L1155" s="2" t="s">
        <v>4881</v>
      </c>
    </row>
    <row r="1156">
      <c r="A1156" s="2" t="s">
        <v>4882</v>
      </c>
      <c r="B1156" s="2" t="s">
        <v>4883</v>
      </c>
      <c r="C1156" s="2" t="s">
        <v>14</v>
      </c>
      <c r="D1156" s="2" t="s">
        <v>15</v>
      </c>
      <c r="E1156" s="2" t="s">
        <v>23</v>
      </c>
      <c r="F1156" s="3">
        <f>+5491150238808</f>
        <v>5491150238808</v>
      </c>
      <c r="G1156" s="2" t="s">
        <v>4884</v>
      </c>
      <c r="H1156" s="2" t="s">
        <v>25</v>
      </c>
      <c r="I1156" s="2" t="s">
        <v>764</v>
      </c>
      <c r="J1156" s="2" t="s">
        <v>764</v>
      </c>
      <c r="K1156" s="4">
        <v>46121.0</v>
      </c>
      <c r="L1156" s="2" t="s">
        <v>4885</v>
      </c>
    </row>
    <row r="1157">
      <c r="A1157" s="2" t="s">
        <v>4886</v>
      </c>
      <c r="B1157" s="2" t="s">
        <v>4887</v>
      </c>
      <c r="C1157" s="2" t="s">
        <v>14</v>
      </c>
      <c r="D1157" s="2" t="s">
        <v>15</v>
      </c>
      <c r="E1157" s="2" t="s">
        <v>16</v>
      </c>
      <c r="F1157" s="3">
        <f>+5491138407696</f>
        <v>5491138407696</v>
      </c>
      <c r="G1157" s="2" t="s">
        <v>4888</v>
      </c>
      <c r="H1157" s="2" t="s">
        <v>32</v>
      </c>
      <c r="I1157" s="2" t="s">
        <v>25</v>
      </c>
      <c r="J1157" s="2" t="s">
        <v>874</v>
      </c>
      <c r="K1157" s="4">
        <v>46120.0</v>
      </c>
      <c r="L1157" s="2" t="s">
        <v>4889</v>
      </c>
    </row>
    <row r="1158">
      <c r="A1158" s="2" t="s">
        <v>4890</v>
      </c>
      <c r="B1158" s="2" t="s">
        <v>4891</v>
      </c>
      <c r="C1158" s="2" t="s">
        <v>14</v>
      </c>
      <c r="D1158" s="2" t="s">
        <v>15</v>
      </c>
      <c r="E1158" s="2" t="s">
        <v>23</v>
      </c>
      <c r="F1158" s="3">
        <f>+5492213140590</f>
        <v>5492213140590</v>
      </c>
      <c r="G1158" s="2" t="s">
        <v>4892</v>
      </c>
      <c r="H1158" s="2" t="s">
        <v>25</v>
      </c>
      <c r="I1158" s="2" t="s">
        <v>44</v>
      </c>
      <c r="J1158" s="2" t="s">
        <v>44</v>
      </c>
      <c r="K1158" s="4">
        <v>46120.0</v>
      </c>
      <c r="L1158" s="2" t="s">
        <v>4893</v>
      </c>
    </row>
    <row r="1159">
      <c r="A1159" s="2" t="s">
        <v>4894</v>
      </c>
      <c r="B1159" s="2" t="s">
        <v>4895</v>
      </c>
      <c r="C1159" s="2" t="s">
        <v>14</v>
      </c>
      <c r="D1159" s="2" t="s">
        <v>15</v>
      </c>
      <c r="E1159" s="2" t="s">
        <v>23</v>
      </c>
      <c r="F1159" s="3">
        <f>+5491157950913</f>
        <v>5491157950913</v>
      </c>
      <c r="G1159" s="2" t="s">
        <v>4896</v>
      </c>
      <c r="H1159" s="2" t="s">
        <v>25</v>
      </c>
      <c r="I1159" s="2" t="s">
        <v>314</v>
      </c>
      <c r="J1159" s="2" t="s">
        <v>314</v>
      </c>
      <c r="K1159" s="4">
        <v>46120.0</v>
      </c>
      <c r="L1159" s="2" t="s">
        <v>4897</v>
      </c>
    </row>
    <row r="1160">
      <c r="A1160" s="2" t="s">
        <v>4898</v>
      </c>
      <c r="B1160" s="2" t="s">
        <v>4899</v>
      </c>
      <c r="C1160" s="2" t="s">
        <v>14</v>
      </c>
      <c r="D1160" s="2" t="s">
        <v>15</v>
      </c>
      <c r="E1160" s="2" t="s">
        <v>23</v>
      </c>
      <c r="F1160" s="3">
        <f>+5493512356983</f>
        <v>5493512356983</v>
      </c>
      <c r="G1160" s="2" t="s">
        <v>4900</v>
      </c>
      <c r="H1160" s="2" t="s">
        <v>18</v>
      </c>
      <c r="I1160" s="2" t="s">
        <v>18</v>
      </c>
      <c r="J1160" s="2" t="s">
        <v>2260</v>
      </c>
      <c r="K1160" s="4">
        <v>46120.0</v>
      </c>
      <c r="L1160" s="2" t="s">
        <v>4901</v>
      </c>
    </row>
    <row r="1161">
      <c r="A1161" s="2" t="s">
        <v>4902</v>
      </c>
      <c r="B1161" s="2" t="s">
        <v>4903</v>
      </c>
      <c r="C1161" s="2" t="s">
        <v>14</v>
      </c>
      <c r="D1161" s="2" t="s">
        <v>15</v>
      </c>
      <c r="E1161" s="2" t="s">
        <v>23</v>
      </c>
      <c r="F1161" s="3">
        <f>+5491155062238</f>
        <v>5491155062238</v>
      </c>
      <c r="G1161" s="2" t="s">
        <v>4904</v>
      </c>
      <c r="H1161" s="2" t="s">
        <v>25</v>
      </c>
      <c r="I1161" s="2" t="s">
        <v>26</v>
      </c>
      <c r="J1161" s="2" t="s">
        <v>1745</v>
      </c>
      <c r="K1161" s="4">
        <v>46120.0</v>
      </c>
      <c r="L1161" s="2" t="s">
        <v>4905</v>
      </c>
    </row>
    <row r="1162">
      <c r="A1162" s="2" t="s">
        <v>4906</v>
      </c>
      <c r="B1162" s="2" t="s">
        <v>4907</v>
      </c>
      <c r="C1162" s="2" t="s">
        <v>14</v>
      </c>
      <c r="D1162" s="2" t="s">
        <v>15</v>
      </c>
      <c r="E1162" s="2" t="s">
        <v>23</v>
      </c>
      <c r="F1162" s="3">
        <f>+5492235710514</f>
        <v>5492235710514</v>
      </c>
      <c r="G1162" s="2" t="s">
        <v>4908</v>
      </c>
      <c r="H1162" s="2" t="s">
        <v>25</v>
      </c>
      <c r="I1162" s="2" t="s">
        <v>49</v>
      </c>
      <c r="J1162" s="2" t="s">
        <v>418</v>
      </c>
      <c r="K1162" s="4">
        <v>46120.0</v>
      </c>
      <c r="L1162" s="2" t="s">
        <v>4909</v>
      </c>
    </row>
    <row r="1163">
      <c r="A1163" s="2" t="s">
        <v>4910</v>
      </c>
      <c r="B1163" s="2" t="s">
        <v>4911</v>
      </c>
      <c r="C1163" s="2" t="s">
        <v>14</v>
      </c>
      <c r="D1163" s="2" t="s">
        <v>15</v>
      </c>
      <c r="E1163" s="2" t="s">
        <v>23</v>
      </c>
      <c r="F1163" s="3">
        <f>+5491139158322</f>
        <v>5491139158322</v>
      </c>
      <c r="G1163" s="2" t="s">
        <v>4912</v>
      </c>
      <c r="H1163" s="2" t="s">
        <v>25</v>
      </c>
      <c r="I1163" s="2" t="s">
        <v>1378</v>
      </c>
      <c r="J1163" s="2" t="s">
        <v>1378</v>
      </c>
      <c r="K1163" s="4">
        <v>46120.0</v>
      </c>
      <c r="L1163" s="2" t="s">
        <v>4913</v>
      </c>
    </row>
    <row r="1164">
      <c r="A1164" s="2" t="s">
        <v>4914</v>
      </c>
      <c r="B1164" s="2" t="s">
        <v>4915</v>
      </c>
      <c r="C1164" s="2" t="s">
        <v>14</v>
      </c>
      <c r="D1164" s="2" t="s">
        <v>15</v>
      </c>
      <c r="E1164" s="2" t="s">
        <v>23</v>
      </c>
      <c r="F1164" s="3">
        <f>+5492236818230</f>
        <v>5492236818230</v>
      </c>
      <c r="G1164" s="2" t="s">
        <v>4916</v>
      </c>
      <c r="H1164" s="2" t="s">
        <v>25</v>
      </c>
      <c r="I1164" s="2" t="s">
        <v>649</v>
      </c>
      <c r="J1164" s="2" t="s">
        <v>4917</v>
      </c>
      <c r="K1164" s="4">
        <v>46120.0</v>
      </c>
      <c r="L1164" s="2" t="s">
        <v>4918</v>
      </c>
    </row>
    <row r="1165">
      <c r="A1165" s="2" t="s">
        <v>4919</v>
      </c>
      <c r="B1165" s="2" t="s">
        <v>4920</v>
      </c>
      <c r="C1165" s="2" t="s">
        <v>14</v>
      </c>
      <c r="D1165" s="2" t="s">
        <v>15</v>
      </c>
      <c r="E1165" s="2" t="s">
        <v>23</v>
      </c>
      <c r="F1165" s="3">
        <f>+5491138856854</f>
        <v>5491138856854</v>
      </c>
      <c r="G1165" s="2" t="s">
        <v>4921</v>
      </c>
      <c r="H1165" s="2" t="s">
        <v>32</v>
      </c>
      <c r="I1165" s="2" t="s">
        <v>25</v>
      </c>
      <c r="J1165" s="2" t="s">
        <v>559</v>
      </c>
      <c r="K1165" s="4">
        <v>46120.0</v>
      </c>
      <c r="L1165" s="2" t="s">
        <v>4922</v>
      </c>
    </row>
    <row r="1166">
      <c r="A1166" s="2" t="s">
        <v>4923</v>
      </c>
      <c r="B1166" s="2" t="s">
        <v>4924</v>
      </c>
      <c r="C1166" s="2" t="s">
        <v>14</v>
      </c>
      <c r="D1166" s="2" t="s">
        <v>15</v>
      </c>
      <c r="E1166" s="2" t="s">
        <v>23</v>
      </c>
      <c r="F1166" s="3">
        <f>+5491151758673</f>
        <v>5491151758673</v>
      </c>
      <c r="G1166" s="2" t="s">
        <v>4925</v>
      </c>
      <c r="H1166" s="2" t="s">
        <v>25</v>
      </c>
      <c r="I1166" s="2" t="s">
        <v>486</v>
      </c>
      <c r="J1166" s="2" t="s">
        <v>1934</v>
      </c>
      <c r="K1166" s="4">
        <v>46120.0</v>
      </c>
      <c r="L1166" s="2" t="s">
        <v>4926</v>
      </c>
    </row>
    <row r="1167">
      <c r="A1167" s="2" t="s">
        <v>4927</v>
      </c>
      <c r="B1167" s="2" t="s">
        <v>4928</v>
      </c>
      <c r="C1167" s="2" t="s">
        <v>14</v>
      </c>
      <c r="D1167" s="2" t="s">
        <v>15</v>
      </c>
      <c r="E1167" s="2" t="s">
        <v>23</v>
      </c>
      <c r="F1167" s="3">
        <f>+5491133485870</f>
        <v>5491133485870</v>
      </c>
      <c r="G1167" s="2" t="s">
        <v>4929</v>
      </c>
      <c r="H1167" s="2" t="s">
        <v>32</v>
      </c>
      <c r="I1167" s="2" t="s">
        <v>25</v>
      </c>
      <c r="J1167" s="2" t="s">
        <v>734</v>
      </c>
      <c r="K1167" s="4">
        <v>46120.0</v>
      </c>
      <c r="L1167" s="2" t="s">
        <v>4930</v>
      </c>
    </row>
    <row r="1168">
      <c r="A1168" s="2" t="s">
        <v>4931</v>
      </c>
      <c r="B1168" s="2" t="s">
        <v>4932</v>
      </c>
      <c r="C1168" s="2" t="s">
        <v>14</v>
      </c>
      <c r="D1168" s="2" t="s">
        <v>15</v>
      </c>
      <c r="E1168" s="2" t="s">
        <v>16</v>
      </c>
      <c r="F1168" s="3">
        <f>+5493512719338</f>
        <v>5493512719338</v>
      </c>
      <c r="G1168" s="2" t="s">
        <v>4933</v>
      </c>
      <c r="H1168" s="2" t="s">
        <v>18</v>
      </c>
      <c r="I1168" s="2" t="s">
        <v>18</v>
      </c>
      <c r="J1168" s="2" t="s">
        <v>4934</v>
      </c>
      <c r="K1168" s="4">
        <v>46120.0</v>
      </c>
      <c r="L1168" s="2" t="s">
        <v>4935</v>
      </c>
    </row>
    <row r="1169">
      <c r="A1169" s="2" t="s">
        <v>4936</v>
      </c>
      <c r="B1169" s="2" t="s">
        <v>4937</v>
      </c>
      <c r="C1169" s="2" t="s">
        <v>14</v>
      </c>
      <c r="D1169" s="2" t="s">
        <v>15</v>
      </c>
      <c r="E1169" s="2" t="s">
        <v>16</v>
      </c>
      <c r="F1169" s="3">
        <f>+5491138407696</f>
        <v>5491138407696</v>
      </c>
      <c r="G1169" s="2" t="s">
        <v>4888</v>
      </c>
      <c r="H1169" s="2" t="s">
        <v>32</v>
      </c>
      <c r="I1169" s="2" t="s">
        <v>25</v>
      </c>
      <c r="J1169" s="2" t="s">
        <v>874</v>
      </c>
      <c r="K1169" s="4">
        <v>46120.0</v>
      </c>
      <c r="L1169" s="2" t="s">
        <v>4889</v>
      </c>
    </row>
    <row r="1170">
      <c r="A1170" s="2" t="s">
        <v>4938</v>
      </c>
      <c r="B1170" s="2" t="s">
        <v>4939</v>
      </c>
      <c r="C1170" s="2" t="s">
        <v>14</v>
      </c>
      <c r="D1170" s="2" t="s">
        <v>15</v>
      </c>
      <c r="E1170" s="2" t="s">
        <v>23</v>
      </c>
      <c r="F1170" s="3">
        <f>+5491130066343</f>
        <v>5491130066343</v>
      </c>
      <c r="G1170" s="2" t="s">
        <v>4940</v>
      </c>
      <c r="H1170" s="2" t="s">
        <v>25</v>
      </c>
      <c r="I1170" s="2" t="s">
        <v>84</v>
      </c>
      <c r="J1170" s="2" t="s">
        <v>85</v>
      </c>
      <c r="K1170" s="4">
        <v>46120.0</v>
      </c>
      <c r="L1170" s="2" t="s">
        <v>4941</v>
      </c>
    </row>
    <row r="1171">
      <c r="A1171" s="2" t="s">
        <v>4942</v>
      </c>
      <c r="B1171" s="2" t="s">
        <v>4943</v>
      </c>
      <c r="C1171" s="2" t="s">
        <v>14</v>
      </c>
      <c r="D1171" s="2" t="s">
        <v>15</v>
      </c>
      <c r="E1171" s="2" t="s">
        <v>23</v>
      </c>
      <c r="F1171" s="3">
        <f>+5491139029775</f>
        <v>5491139029775</v>
      </c>
      <c r="G1171" s="2" t="s">
        <v>4944</v>
      </c>
      <c r="H1171" s="2" t="s">
        <v>32</v>
      </c>
      <c r="I1171" s="2" t="s">
        <v>25</v>
      </c>
      <c r="J1171" s="2" t="s">
        <v>1593</v>
      </c>
      <c r="K1171" s="4">
        <v>46120.0</v>
      </c>
      <c r="L1171" s="2" t="s">
        <v>4945</v>
      </c>
    </row>
    <row r="1172">
      <c r="A1172" s="2" t="s">
        <v>4946</v>
      </c>
      <c r="B1172" s="2" t="s">
        <v>4947</v>
      </c>
      <c r="C1172" s="2" t="s">
        <v>14</v>
      </c>
      <c r="D1172" s="2" t="s">
        <v>15</v>
      </c>
      <c r="E1172" s="2" t="s">
        <v>23</v>
      </c>
      <c r="F1172" s="3">
        <f>+5491168566636</f>
        <v>5491168566636</v>
      </c>
      <c r="G1172" s="2" t="s">
        <v>4948</v>
      </c>
      <c r="H1172" s="2" t="s">
        <v>25</v>
      </c>
      <c r="I1172" s="2" t="s">
        <v>957</v>
      </c>
      <c r="J1172" s="2" t="s">
        <v>1475</v>
      </c>
      <c r="K1172" s="4">
        <v>46120.0</v>
      </c>
      <c r="L1172" s="2" t="s">
        <v>4949</v>
      </c>
    </row>
    <row r="1173">
      <c r="A1173" s="2" t="s">
        <v>4950</v>
      </c>
      <c r="B1173" s="2" t="s">
        <v>4951</v>
      </c>
      <c r="C1173" s="2" t="s">
        <v>14</v>
      </c>
      <c r="D1173" s="2" t="s">
        <v>15</v>
      </c>
      <c r="E1173" s="2" t="s">
        <v>23</v>
      </c>
      <c r="F1173" s="3">
        <f>+5491166340404</f>
        <v>5491166340404</v>
      </c>
      <c r="G1173" s="2" t="s">
        <v>4952</v>
      </c>
      <c r="H1173" s="2" t="s">
        <v>25</v>
      </c>
      <c r="I1173" s="2" t="s">
        <v>38</v>
      </c>
      <c r="J1173" s="2" t="s">
        <v>103</v>
      </c>
      <c r="K1173" s="4">
        <v>46120.0</v>
      </c>
      <c r="L1173" s="2" t="s">
        <v>4953</v>
      </c>
    </row>
    <row r="1174">
      <c r="A1174" s="2" t="s">
        <v>4954</v>
      </c>
      <c r="B1174" s="2" t="s">
        <v>4955</v>
      </c>
      <c r="C1174" s="2" t="s">
        <v>14</v>
      </c>
      <c r="D1174" s="2" t="s">
        <v>15</v>
      </c>
      <c r="E1174" s="2" t="s">
        <v>23</v>
      </c>
      <c r="F1174" s="3">
        <f>+5491131077393</f>
        <v>5491131077393</v>
      </c>
      <c r="G1174" s="2" t="s">
        <v>4956</v>
      </c>
      <c r="H1174" s="2" t="s">
        <v>25</v>
      </c>
      <c r="I1174" s="2" t="s">
        <v>230</v>
      </c>
      <c r="J1174" s="2" t="s">
        <v>231</v>
      </c>
      <c r="K1174" s="4">
        <v>46120.0</v>
      </c>
      <c r="L1174" s="2" t="s">
        <v>4957</v>
      </c>
    </row>
    <row r="1175">
      <c r="A1175" s="2" t="s">
        <v>4958</v>
      </c>
      <c r="B1175" s="2" t="s">
        <v>4959</v>
      </c>
      <c r="C1175" s="2" t="s">
        <v>14</v>
      </c>
      <c r="D1175" s="2" t="s">
        <v>15</v>
      </c>
      <c r="E1175" s="2" t="s">
        <v>23</v>
      </c>
      <c r="F1175" s="3">
        <f>+543414495060</f>
        <v>543414495060</v>
      </c>
      <c r="G1175" s="2" t="s">
        <v>4960</v>
      </c>
      <c r="H1175" s="2" t="s">
        <v>65</v>
      </c>
      <c r="I1175" s="2" t="s">
        <v>218</v>
      </c>
      <c r="J1175" s="2" t="s">
        <v>219</v>
      </c>
      <c r="K1175" s="4">
        <v>46120.0</v>
      </c>
      <c r="L1175" s="2" t="s">
        <v>4961</v>
      </c>
    </row>
    <row r="1176">
      <c r="A1176" s="2" t="s">
        <v>4962</v>
      </c>
      <c r="B1176" s="2" t="s">
        <v>4963</v>
      </c>
      <c r="C1176" s="2" t="s">
        <v>14</v>
      </c>
      <c r="D1176" s="2" t="s">
        <v>15</v>
      </c>
      <c r="E1176" s="2" t="s">
        <v>16</v>
      </c>
      <c r="F1176" s="3">
        <f>+5491124603342</f>
        <v>5491124603342</v>
      </c>
      <c r="G1176" s="2" t="s">
        <v>4843</v>
      </c>
      <c r="H1176" s="2" t="s">
        <v>32</v>
      </c>
      <c r="I1176" s="2" t="s">
        <v>25</v>
      </c>
      <c r="J1176" s="2" t="s">
        <v>403</v>
      </c>
      <c r="K1176" s="4">
        <v>46120.0</v>
      </c>
      <c r="L1176" s="2" t="s">
        <v>4964</v>
      </c>
    </row>
    <row r="1177">
      <c r="A1177" s="2" t="s">
        <v>4965</v>
      </c>
      <c r="B1177" s="2" t="s">
        <v>4966</v>
      </c>
      <c r="C1177" s="2" t="s">
        <v>14</v>
      </c>
      <c r="D1177" s="2" t="s">
        <v>15</v>
      </c>
      <c r="E1177" s="2" t="s">
        <v>23</v>
      </c>
      <c r="F1177" s="3">
        <f>+5493876315534</f>
        <v>5493876315534</v>
      </c>
      <c r="G1177" s="2" t="s">
        <v>4967</v>
      </c>
      <c r="H1177" s="2" t="s">
        <v>725</v>
      </c>
      <c r="I1177" s="2" t="s">
        <v>725</v>
      </c>
      <c r="J1177" s="2" t="s">
        <v>219</v>
      </c>
      <c r="K1177" s="4">
        <v>46120.0</v>
      </c>
      <c r="L1177" s="2" t="s">
        <v>4968</v>
      </c>
    </row>
    <row r="1178">
      <c r="A1178" s="2" t="s">
        <v>4969</v>
      </c>
      <c r="B1178" s="2" t="s">
        <v>4970</v>
      </c>
      <c r="C1178" s="2" t="s">
        <v>14</v>
      </c>
      <c r="D1178" s="2" t="s">
        <v>15</v>
      </c>
      <c r="E1178" s="2" t="s">
        <v>23</v>
      </c>
      <c r="F1178" s="3">
        <f>+5492915372113</f>
        <v>5492915372113</v>
      </c>
      <c r="G1178" s="2" t="s">
        <v>4971</v>
      </c>
      <c r="H1178" s="2" t="s">
        <v>25</v>
      </c>
      <c r="I1178" s="2" t="s">
        <v>841</v>
      </c>
      <c r="J1178" s="2" t="s">
        <v>219</v>
      </c>
      <c r="K1178" s="4">
        <v>46120.0</v>
      </c>
      <c r="L1178" s="2" t="s">
        <v>4972</v>
      </c>
    </row>
    <row r="1179">
      <c r="A1179" s="2" t="s">
        <v>4973</v>
      </c>
      <c r="B1179" s="2" t="s">
        <v>4974</v>
      </c>
      <c r="C1179" s="2" t="s">
        <v>14</v>
      </c>
      <c r="D1179" s="2" t="s">
        <v>15</v>
      </c>
      <c r="E1179" s="2" t="s">
        <v>23</v>
      </c>
      <c r="F1179" s="3">
        <f>+5492613906267</f>
        <v>5492613906267</v>
      </c>
      <c r="G1179" s="2" t="s">
        <v>4975</v>
      </c>
      <c r="H1179" s="2" t="s">
        <v>71</v>
      </c>
      <c r="I1179" s="2" t="s">
        <v>1625</v>
      </c>
      <c r="J1179" s="2" t="s">
        <v>1626</v>
      </c>
      <c r="K1179" s="4">
        <v>46120.0</v>
      </c>
      <c r="L1179" s="2" t="s">
        <v>4976</v>
      </c>
    </row>
    <row r="1180">
      <c r="A1180" s="2" t="s">
        <v>4977</v>
      </c>
      <c r="B1180" s="2" t="s">
        <v>4978</v>
      </c>
      <c r="C1180" s="2" t="s">
        <v>14</v>
      </c>
      <c r="D1180" s="2" t="s">
        <v>15</v>
      </c>
      <c r="E1180" s="2" t="s">
        <v>23</v>
      </c>
      <c r="F1180" s="3">
        <f>+5491122522751</f>
        <v>5491122522751</v>
      </c>
      <c r="G1180" s="2" t="s">
        <v>4979</v>
      </c>
      <c r="H1180" s="2" t="s">
        <v>25</v>
      </c>
      <c r="I1180" s="2" t="s">
        <v>84</v>
      </c>
      <c r="J1180" s="2" t="s">
        <v>1699</v>
      </c>
      <c r="K1180" s="4">
        <v>46120.0</v>
      </c>
      <c r="L1180" s="2" t="s">
        <v>4980</v>
      </c>
    </row>
    <row r="1181">
      <c r="A1181" s="2" t="s">
        <v>4981</v>
      </c>
      <c r="B1181" s="2" t="s">
        <v>4982</v>
      </c>
      <c r="C1181" s="2" t="s">
        <v>14</v>
      </c>
      <c r="D1181" s="2" t="s">
        <v>15</v>
      </c>
      <c r="E1181" s="2" t="s">
        <v>23</v>
      </c>
      <c r="F1181" s="3">
        <f>+5491138208914</f>
        <v>5491138208914</v>
      </c>
      <c r="G1181" s="2" t="s">
        <v>4983</v>
      </c>
      <c r="H1181" s="2" t="s">
        <v>25</v>
      </c>
      <c r="I1181" s="2" t="s">
        <v>97</v>
      </c>
      <c r="J1181" s="2" t="s">
        <v>98</v>
      </c>
      <c r="K1181" s="4">
        <v>46120.0</v>
      </c>
      <c r="L1181" s="2" t="s">
        <v>4984</v>
      </c>
    </row>
    <row r="1182">
      <c r="A1182" s="2" t="s">
        <v>4985</v>
      </c>
      <c r="B1182" s="2" t="s">
        <v>4986</v>
      </c>
      <c r="C1182" s="2" t="s">
        <v>14</v>
      </c>
      <c r="D1182" s="2" t="s">
        <v>15</v>
      </c>
      <c r="E1182" s="2" t="s">
        <v>23</v>
      </c>
      <c r="F1182" s="3">
        <f>+5491130877450</f>
        <v>5491130877450</v>
      </c>
      <c r="G1182" s="2" t="s">
        <v>4987</v>
      </c>
      <c r="H1182" s="2" t="s">
        <v>25</v>
      </c>
      <c r="I1182" s="2" t="s">
        <v>97</v>
      </c>
      <c r="J1182" s="2" t="s">
        <v>97</v>
      </c>
      <c r="K1182" s="4">
        <v>46120.0</v>
      </c>
      <c r="L1182" s="2" t="s">
        <v>4988</v>
      </c>
    </row>
    <row r="1183">
      <c r="A1183" s="2" t="s">
        <v>4989</v>
      </c>
      <c r="B1183" s="2" t="s">
        <v>4990</v>
      </c>
      <c r="C1183" s="2" t="s">
        <v>14</v>
      </c>
      <c r="D1183" s="2" t="s">
        <v>15</v>
      </c>
      <c r="E1183" s="2" t="s">
        <v>23</v>
      </c>
      <c r="F1183" s="3">
        <f>+5492616161211</f>
        <v>5492616161211</v>
      </c>
      <c r="G1183" s="2" t="s">
        <v>4991</v>
      </c>
      <c r="H1183" s="2" t="s">
        <v>71</v>
      </c>
      <c r="I1183" s="2" t="s">
        <v>902</v>
      </c>
      <c r="J1183" s="2" t="s">
        <v>903</v>
      </c>
      <c r="K1183" s="4">
        <v>46120.0</v>
      </c>
      <c r="L1183" s="2" t="s">
        <v>4992</v>
      </c>
    </row>
    <row r="1184">
      <c r="A1184" s="2" t="s">
        <v>4993</v>
      </c>
      <c r="B1184" s="2" t="s">
        <v>4994</v>
      </c>
      <c r="C1184" s="2" t="s">
        <v>14</v>
      </c>
      <c r="D1184" s="2" t="s">
        <v>15</v>
      </c>
      <c r="E1184" s="2" t="s">
        <v>23</v>
      </c>
      <c r="F1184" s="3">
        <f>+5491159519406</f>
        <v>5491159519406</v>
      </c>
      <c r="G1184" s="2" t="s">
        <v>4995</v>
      </c>
      <c r="H1184" s="2" t="s">
        <v>25</v>
      </c>
      <c r="I1184" s="2" t="s">
        <v>97</v>
      </c>
      <c r="J1184" s="2" t="s">
        <v>98</v>
      </c>
      <c r="K1184" s="4">
        <v>46120.0</v>
      </c>
      <c r="L1184" s="2" t="s">
        <v>4996</v>
      </c>
    </row>
    <row r="1185">
      <c r="A1185" s="2" t="s">
        <v>4997</v>
      </c>
      <c r="B1185" s="2" t="s">
        <v>4998</v>
      </c>
      <c r="C1185" s="2" t="s">
        <v>14</v>
      </c>
      <c r="D1185" s="2" t="s">
        <v>15</v>
      </c>
      <c r="E1185" s="2" t="s">
        <v>23</v>
      </c>
      <c r="F1185" s="3">
        <f>+5491126562141</f>
        <v>5491126562141</v>
      </c>
      <c r="G1185" s="2" t="s">
        <v>4999</v>
      </c>
      <c r="H1185" s="2" t="s">
        <v>25</v>
      </c>
      <c r="I1185" s="2" t="s">
        <v>1378</v>
      </c>
      <c r="J1185" s="2" t="s">
        <v>1378</v>
      </c>
      <c r="K1185" s="4">
        <v>46120.0</v>
      </c>
      <c r="L1185" s="2" t="s">
        <v>5000</v>
      </c>
    </row>
    <row r="1186">
      <c r="A1186" s="2" t="s">
        <v>5001</v>
      </c>
      <c r="B1186" s="2" t="s">
        <v>5002</v>
      </c>
      <c r="C1186" s="2" t="s">
        <v>533</v>
      </c>
      <c r="D1186" s="2" t="s">
        <v>15</v>
      </c>
      <c r="E1186" s="2" t="s">
        <v>23</v>
      </c>
      <c r="F1186" s="3">
        <f>+5491127017002</f>
        <v>5491127017002</v>
      </c>
      <c r="G1186" s="2" t="s">
        <v>5003</v>
      </c>
      <c r="H1186" s="2" t="s">
        <v>25</v>
      </c>
      <c r="I1186" s="2" t="s">
        <v>97</v>
      </c>
      <c r="J1186" s="2" t="s">
        <v>97</v>
      </c>
      <c r="K1186" s="4">
        <v>46120.0</v>
      </c>
      <c r="L1186" s="2" t="s">
        <v>5004</v>
      </c>
    </row>
    <row r="1187">
      <c r="A1187" s="2" t="s">
        <v>5005</v>
      </c>
      <c r="B1187" s="2" t="s">
        <v>5006</v>
      </c>
      <c r="C1187" s="2" t="s">
        <v>14</v>
      </c>
      <c r="D1187" s="2" t="s">
        <v>15</v>
      </c>
      <c r="E1187" s="2" t="s">
        <v>23</v>
      </c>
      <c r="F1187" s="3">
        <f>+5491141464537</f>
        <v>5491141464537</v>
      </c>
      <c r="G1187" s="2" t="s">
        <v>5007</v>
      </c>
      <c r="H1187" s="2" t="s">
        <v>25</v>
      </c>
      <c r="I1187" s="2" t="s">
        <v>1920</v>
      </c>
      <c r="J1187" s="2" t="s">
        <v>1920</v>
      </c>
      <c r="K1187" s="4">
        <v>46120.0</v>
      </c>
      <c r="L1187" s="2" t="s">
        <v>5008</v>
      </c>
    </row>
    <row r="1188">
      <c r="A1188" s="2" t="s">
        <v>5009</v>
      </c>
      <c r="B1188" s="2" t="s">
        <v>5010</v>
      </c>
      <c r="C1188" s="2" t="s">
        <v>14</v>
      </c>
      <c r="D1188" s="2" t="s">
        <v>15</v>
      </c>
      <c r="E1188" s="2" t="s">
        <v>16</v>
      </c>
      <c r="F1188" s="3">
        <f>+5491141726681</f>
        <v>5491141726681</v>
      </c>
      <c r="G1188" s="2" t="s">
        <v>5011</v>
      </c>
      <c r="H1188" s="2" t="s">
        <v>25</v>
      </c>
      <c r="I1188" s="2" t="s">
        <v>481</v>
      </c>
      <c r="J1188" s="2" t="s">
        <v>481</v>
      </c>
      <c r="K1188" s="4">
        <v>46120.0</v>
      </c>
      <c r="L1188" s="2" t="s">
        <v>5012</v>
      </c>
    </row>
    <row r="1189">
      <c r="A1189" s="2" t="s">
        <v>5013</v>
      </c>
      <c r="B1189" s="2" t="s">
        <v>5014</v>
      </c>
      <c r="C1189" s="2" t="s">
        <v>14</v>
      </c>
      <c r="D1189" s="2" t="s">
        <v>15</v>
      </c>
      <c r="E1189" s="2" t="s">
        <v>23</v>
      </c>
      <c r="F1189" s="3">
        <f>+5491122900807</f>
        <v>5491122900807</v>
      </c>
      <c r="G1189" s="2" t="s">
        <v>5015</v>
      </c>
      <c r="H1189" s="2" t="s">
        <v>25</v>
      </c>
      <c r="I1189" s="2" t="s">
        <v>957</v>
      </c>
      <c r="J1189" s="2" t="s">
        <v>1475</v>
      </c>
      <c r="K1189" s="4">
        <v>46120.0</v>
      </c>
      <c r="L1189" s="2" t="s">
        <v>5016</v>
      </c>
    </row>
    <row r="1190">
      <c r="A1190" s="2" t="s">
        <v>5017</v>
      </c>
      <c r="B1190" s="2" t="s">
        <v>5018</v>
      </c>
      <c r="C1190" s="2" t="s">
        <v>14</v>
      </c>
      <c r="D1190" s="2" t="s">
        <v>15</v>
      </c>
      <c r="E1190" s="2" t="s">
        <v>23</v>
      </c>
      <c r="F1190" s="3">
        <f>+5491127063898</f>
        <v>5491127063898</v>
      </c>
      <c r="G1190" s="2" t="s">
        <v>5019</v>
      </c>
      <c r="H1190" s="2" t="s">
        <v>25</v>
      </c>
      <c r="I1190" s="2" t="s">
        <v>38</v>
      </c>
      <c r="J1190" s="2" t="s">
        <v>103</v>
      </c>
      <c r="K1190" s="4">
        <v>46120.0</v>
      </c>
      <c r="L1190" s="2" t="s">
        <v>5020</v>
      </c>
    </row>
    <row r="1191">
      <c r="A1191" s="2" t="s">
        <v>5021</v>
      </c>
      <c r="B1191" s="2" t="s">
        <v>5022</v>
      </c>
      <c r="C1191" s="2" t="s">
        <v>14</v>
      </c>
      <c r="D1191" s="2" t="s">
        <v>15</v>
      </c>
      <c r="E1191" s="2" t="s">
        <v>23</v>
      </c>
      <c r="F1191" s="3">
        <f>+5492617049570</f>
        <v>5492617049570</v>
      </c>
      <c r="G1191" s="2" t="s">
        <v>5023</v>
      </c>
      <c r="H1191" s="2" t="s">
        <v>71</v>
      </c>
      <c r="I1191" s="2" t="s">
        <v>1625</v>
      </c>
      <c r="J1191" s="2" t="s">
        <v>2160</v>
      </c>
      <c r="K1191" s="4">
        <v>46120.0</v>
      </c>
      <c r="L1191" s="2" t="s">
        <v>5024</v>
      </c>
    </row>
    <row r="1192">
      <c r="A1192" s="2" t="s">
        <v>5025</v>
      </c>
      <c r="B1192" s="2" t="s">
        <v>5026</v>
      </c>
      <c r="C1192" s="2" t="s">
        <v>14</v>
      </c>
      <c r="D1192" s="2" t="s">
        <v>15</v>
      </c>
      <c r="E1192" s="2" t="s">
        <v>23</v>
      </c>
      <c r="F1192" s="3">
        <f>+5491130015740</f>
        <v>5491130015740</v>
      </c>
      <c r="G1192" s="2" t="s">
        <v>5027</v>
      </c>
      <c r="H1192" s="2" t="s">
        <v>25</v>
      </c>
      <c r="I1192" s="2" t="s">
        <v>26</v>
      </c>
      <c r="J1192" s="2" t="s">
        <v>2215</v>
      </c>
      <c r="K1192" s="4">
        <v>46120.0</v>
      </c>
      <c r="L1192" s="2" t="s">
        <v>5028</v>
      </c>
    </row>
    <row r="1193">
      <c r="A1193" s="2" t="s">
        <v>5029</v>
      </c>
      <c r="B1193" s="2" t="s">
        <v>5030</v>
      </c>
      <c r="C1193" s="2" t="s">
        <v>14</v>
      </c>
      <c r="D1193" s="2" t="s">
        <v>15</v>
      </c>
      <c r="E1193" s="2" t="s">
        <v>16</v>
      </c>
      <c r="F1193" s="3">
        <f>+5493513774540</f>
        <v>5493513774540</v>
      </c>
      <c r="G1193" s="2" t="s">
        <v>5031</v>
      </c>
      <c r="H1193" s="2" t="s">
        <v>18</v>
      </c>
      <c r="I1193" s="2" t="s">
        <v>18</v>
      </c>
      <c r="J1193" s="2" t="s">
        <v>5032</v>
      </c>
      <c r="K1193" s="4">
        <v>46120.0</v>
      </c>
      <c r="L1193" s="2" t="s">
        <v>5033</v>
      </c>
    </row>
    <row r="1194">
      <c r="A1194" s="2" t="s">
        <v>5034</v>
      </c>
      <c r="B1194" s="2" t="s">
        <v>5035</v>
      </c>
      <c r="C1194" s="2" t="s">
        <v>14</v>
      </c>
      <c r="D1194" s="2" t="s">
        <v>15</v>
      </c>
      <c r="E1194" s="2" t="s">
        <v>16</v>
      </c>
      <c r="F1194" s="3">
        <f>+5492216920792</f>
        <v>5492216920792</v>
      </c>
      <c r="G1194" s="2" t="s">
        <v>5036</v>
      </c>
      <c r="H1194" s="2" t="s">
        <v>25</v>
      </c>
      <c r="I1194" s="2" t="s">
        <v>44</v>
      </c>
      <c r="J1194" s="2" t="s">
        <v>44</v>
      </c>
      <c r="K1194" s="4">
        <v>46120.0</v>
      </c>
      <c r="L1194" s="2" t="s">
        <v>5037</v>
      </c>
    </row>
    <row r="1195">
      <c r="A1195" s="2" t="s">
        <v>5038</v>
      </c>
      <c r="B1195" s="2" t="s">
        <v>5039</v>
      </c>
      <c r="C1195" s="2" t="s">
        <v>14</v>
      </c>
      <c r="D1195" s="2" t="s">
        <v>15</v>
      </c>
      <c r="E1195" s="2" t="s">
        <v>16</v>
      </c>
      <c r="F1195" s="3">
        <f>+5491141726681</f>
        <v>5491141726681</v>
      </c>
      <c r="G1195" s="2" t="s">
        <v>5011</v>
      </c>
      <c r="H1195" s="2" t="s">
        <v>25</v>
      </c>
      <c r="I1195" s="2" t="s">
        <v>481</v>
      </c>
      <c r="J1195" s="2" t="s">
        <v>481</v>
      </c>
      <c r="K1195" s="4">
        <v>46120.0</v>
      </c>
      <c r="L1195" s="2" t="s">
        <v>5012</v>
      </c>
    </row>
    <row r="1196">
      <c r="A1196" s="2" t="s">
        <v>5040</v>
      </c>
      <c r="B1196" s="2" t="s">
        <v>5041</v>
      </c>
      <c r="C1196" s="2" t="s">
        <v>14</v>
      </c>
      <c r="D1196" s="2" t="s">
        <v>15</v>
      </c>
      <c r="E1196" s="2" t="s">
        <v>23</v>
      </c>
      <c r="F1196" s="3">
        <f>+5491157669438</f>
        <v>5491157669438</v>
      </c>
      <c r="G1196" s="2" t="s">
        <v>5042</v>
      </c>
      <c r="H1196" s="2" t="s">
        <v>25</v>
      </c>
      <c r="I1196" s="2" t="s">
        <v>246</v>
      </c>
      <c r="J1196" s="2" t="s">
        <v>299</v>
      </c>
      <c r="K1196" s="4">
        <v>46120.0</v>
      </c>
      <c r="L1196" s="2" t="s">
        <v>5043</v>
      </c>
    </row>
    <row r="1197">
      <c r="A1197" s="2" t="s">
        <v>5044</v>
      </c>
      <c r="B1197" s="2" t="s">
        <v>5045</v>
      </c>
      <c r="C1197" s="2" t="s">
        <v>14</v>
      </c>
      <c r="D1197" s="2" t="s">
        <v>15</v>
      </c>
      <c r="E1197" s="2" t="s">
        <v>23</v>
      </c>
      <c r="F1197" s="3">
        <f>+5491157263488</f>
        <v>5491157263488</v>
      </c>
      <c r="G1197" s="2" t="s">
        <v>5046</v>
      </c>
      <c r="H1197" s="2" t="s">
        <v>25</v>
      </c>
      <c r="I1197" s="2" t="s">
        <v>309</v>
      </c>
      <c r="J1197" s="2" t="s">
        <v>309</v>
      </c>
      <c r="K1197" s="4">
        <v>46120.0</v>
      </c>
      <c r="L1197" s="2" t="s">
        <v>5047</v>
      </c>
    </row>
    <row r="1198">
      <c r="A1198" s="2" t="s">
        <v>5048</v>
      </c>
      <c r="B1198" s="2" t="s">
        <v>5049</v>
      </c>
      <c r="C1198" s="2" t="s">
        <v>14</v>
      </c>
      <c r="D1198" s="2" t="s">
        <v>15</v>
      </c>
      <c r="E1198" s="2" t="s">
        <v>23</v>
      </c>
      <c r="F1198" s="3">
        <f>+5493562545216</f>
        <v>5493562545216</v>
      </c>
      <c r="G1198" s="2" t="s">
        <v>5050</v>
      </c>
      <c r="H1198" s="2" t="s">
        <v>18</v>
      </c>
      <c r="I1198" s="2" t="s">
        <v>18</v>
      </c>
      <c r="J1198" s="2" t="s">
        <v>5051</v>
      </c>
      <c r="K1198" s="4">
        <v>46120.0</v>
      </c>
      <c r="L1198" s="2" t="s">
        <v>5052</v>
      </c>
    </row>
    <row r="1199">
      <c r="A1199" s="2" t="s">
        <v>5053</v>
      </c>
      <c r="B1199" s="2" t="s">
        <v>5054</v>
      </c>
      <c r="C1199" s="2" t="s">
        <v>14</v>
      </c>
      <c r="D1199" s="2" t="s">
        <v>15</v>
      </c>
      <c r="E1199" s="2" t="s">
        <v>23</v>
      </c>
      <c r="F1199" s="3">
        <f>+5491165167325</f>
        <v>5491165167325</v>
      </c>
      <c r="G1199" s="2" t="s">
        <v>5055</v>
      </c>
      <c r="H1199" s="2" t="s">
        <v>32</v>
      </c>
      <c r="I1199" s="2" t="s">
        <v>25</v>
      </c>
      <c r="J1199" s="2" t="s">
        <v>559</v>
      </c>
      <c r="K1199" s="4">
        <v>46120.0</v>
      </c>
      <c r="L1199" s="2" t="s">
        <v>5056</v>
      </c>
    </row>
    <row r="1200">
      <c r="A1200" s="2" t="s">
        <v>5057</v>
      </c>
      <c r="B1200" s="2" t="s">
        <v>5058</v>
      </c>
      <c r="C1200" s="2" t="s">
        <v>14</v>
      </c>
      <c r="D1200" s="2" t="s">
        <v>15</v>
      </c>
      <c r="E1200" s="2" t="s">
        <v>16</v>
      </c>
      <c r="F1200" s="3">
        <f>+5491149702517</f>
        <v>5491149702517</v>
      </c>
      <c r="G1200" s="2" t="s">
        <v>5059</v>
      </c>
      <c r="H1200" s="2" t="s">
        <v>25</v>
      </c>
      <c r="I1200" s="2" t="s">
        <v>26</v>
      </c>
      <c r="J1200" s="2" t="s">
        <v>1200</v>
      </c>
      <c r="K1200" s="4">
        <v>46120.0</v>
      </c>
      <c r="L1200" s="2" t="s">
        <v>5060</v>
      </c>
    </row>
    <row r="1201">
      <c r="A1201" s="2" t="s">
        <v>5061</v>
      </c>
      <c r="B1201" s="2" t="s">
        <v>5062</v>
      </c>
      <c r="C1201" s="2" t="s">
        <v>14</v>
      </c>
      <c r="D1201" s="2" t="s">
        <v>15</v>
      </c>
      <c r="E1201" s="2" t="s">
        <v>23</v>
      </c>
      <c r="F1201" s="3">
        <f>+5491136856733</f>
        <v>5491136856733</v>
      </c>
      <c r="G1201" s="2" t="s">
        <v>5063</v>
      </c>
      <c r="H1201" s="2" t="s">
        <v>25</v>
      </c>
      <c r="I1201" s="2" t="s">
        <v>26</v>
      </c>
      <c r="J1201" s="2" t="s">
        <v>2215</v>
      </c>
      <c r="K1201" s="4">
        <v>46119.0</v>
      </c>
      <c r="L1201" s="2" t="s">
        <v>5064</v>
      </c>
    </row>
    <row r="1202">
      <c r="A1202" s="2" t="s">
        <v>5065</v>
      </c>
      <c r="B1202" s="2" t="s">
        <v>5066</v>
      </c>
      <c r="C1202" s="2" t="s">
        <v>14</v>
      </c>
      <c r="D1202" s="2" t="s">
        <v>15</v>
      </c>
      <c r="E1202" s="2" t="s">
        <v>23</v>
      </c>
      <c r="F1202" s="3">
        <f>+5492233395121</f>
        <v>5492233395121</v>
      </c>
      <c r="G1202" s="2" t="s">
        <v>5067</v>
      </c>
      <c r="H1202" s="2" t="s">
        <v>25</v>
      </c>
      <c r="I1202" s="2" t="s">
        <v>649</v>
      </c>
      <c r="J1202" s="2" t="s">
        <v>659</v>
      </c>
      <c r="K1202" s="4">
        <v>46119.0</v>
      </c>
      <c r="L1202" s="2" t="s">
        <v>5068</v>
      </c>
    </row>
    <row r="1203">
      <c r="A1203" s="2" t="s">
        <v>5069</v>
      </c>
      <c r="B1203" s="2" t="s">
        <v>5070</v>
      </c>
      <c r="C1203" s="2" t="s">
        <v>14</v>
      </c>
      <c r="D1203" s="2" t="s">
        <v>15</v>
      </c>
      <c r="E1203" s="2" t="s">
        <v>23</v>
      </c>
      <c r="F1203" s="3">
        <f>+5491128698832</f>
        <v>5491128698832</v>
      </c>
      <c r="G1203" s="2" t="s">
        <v>5071</v>
      </c>
      <c r="H1203" s="2" t="s">
        <v>32</v>
      </c>
      <c r="I1203" s="2" t="s">
        <v>25</v>
      </c>
      <c r="J1203" s="2" t="s">
        <v>702</v>
      </c>
      <c r="K1203" s="4">
        <v>46119.0</v>
      </c>
      <c r="L1203" s="2" t="s">
        <v>5072</v>
      </c>
    </row>
    <row r="1204">
      <c r="A1204" s="2" t="s">
        <v>5073</v>
      </c>
      <c r="B1204" s="2" t="s">
        <v>5074</v>
      </c>
      <c r="C1204" s="2" t="s">
        <v>14</v>
      </c>
      <c r="D1204" s="2" t="s">
        <v>15</v>
      </c>
      <c r="E1204" s="2" t="s">
        <v>23</v>
      </c>
      <c r="F1204" s="3">
        <f>+5491154190285</f>
        <v>5491154190285</v>
      </c>
      <c r="G1204" s="2" t="s">
        <v>5075</v>
      </c>
      <c r="H1204" s="2" t="s">
        <v>25</v>
      </c>
      <c r="I1204" s="2" t="s">
        <v>230</v>
      </c>
      <c r="J1204" s="2" t="s">
        <v>231</v>
      </c>
      <c r="K1204" s="4">
        <v>46119.0</v>
      </c>
      <c r="L1204" s="2" t="s">
        <v>5076</v>
      </c>
    </row>
    <row r="1205">
      <c r="A1205" s="2" t="s">
        <v>5077</v>
      </c>
      <c r="B1205" s="2" t="s">
        <v>5078</v>
      </c>
      <c r="C1205" s="2" t="s">
        <v>14</v>
      </c>
      <c r="D1205" s="2" t="s">
        <v>15</v>
      </c>
      <c r="E1205" s="2" t="s">
        <v>23</v>
      </c>
      <c r="F1205" s="3">
        <f>+5491125283889</f>
        <v>5491125283889</v>
      </c>
      <c r="G1205" s="2" t="s">
        <v>5079</v>
      </c>
      <c r="H1205" s="2" t="s">
        <v>32</v>
      </c>
      <c r="I1205" s="2" t="s">
        <v>25</v>
      </c>
      <c r="J1205" s="2" t="s">
        <v>874</v>
      </c>
      <c r="K1205" s="4">
        <v>46119.0</v>
      </c>
      <c r="L1205" s="2" t="s">
        <v>5080</v>
      </c>
    </row>
    <row r="1206">
      <c r="A1206" s="2" t="s">
        <v>5081</v>
      </c>
      <c r="B1206" s="2" t="s">
        <v>5082</v>
      </c>
      <c r="C1206" s="2" t="s">
        <v>14</v>
      </c>
      <c r="D1206" s="2" t="s">
        <v>15</v>
      </c>
      <c r="E1206" s="2" t="s">
        <v>23</v>
      </c>
      <c r="F1206" s="3">
        <f>+5492216764555</f>
        <v>5492216764555</v>
      </c>
      <c r="G1206" s="2" t="s">
        <v>5083</v>
      </c>
      <c r="H1206" s="2" t="s">
        <v>25</v>
      </c>
      <c r="I1206" s="2" t="s">
        <v>44</v>
      </c>
      <c r="J1206" s="2" t="s">
        <v>44</v>
      </c>
      <c r="K1206" s="4">
        <v>46119.0</v>
      </c>
      <c r="L1206" s="2" t="s">
        <v>5084</v>
      </c>
    </row>
    <row r="1207">
      <c r="A1207" s="2" t="s">
        <v>5085</v>
      </c>
      <c r="B1207" s="2" t="s">
        <v>5086</v>
      </c>
      <c r="C1207" s="2" t="s">
        <v>14</v>
      </c>
      <c r="D1207" s="2" t="s">
        <v>15</v>
      </c>
      <c r="E1207" s="2" t="s">
        <v>23</v>
      </c>
      <c r="F1207" s="3">
        <f>+5491159969633</f>
        <v>5491159969633</v>
      </c>
      <c r="G1207" s="2" t="s">
        <v>5087</v>
      </c>
      <c r="H1207" s="2" t="s">
        <v>25</v>
      </c>
      <c r="I1207" s="2" t="s">
        <v>314</v>
      </c>
      <c r="J1207" s="2" t="s">
        <v>814</v>
      </c>
      <c r="K1207" s="4">
        <v>46119.0</v>
      </c>
      <c r="L1207" s="2" t="s">
        <v>5088</v>
      </c>
    </row>
    <row r="1208">
      <c r="A1208" s="2" t="s">
        <v>5089</v>
      </c>
      <c r="B1208" s="2" t="s">
        <v>5090</v>
      </c>
      <c r="C1208" s="2" t="s">
        <v>14</v>
      </c>
      <c r="D1208" s="2" t="s">
        <v>15</v>
      </c>
      <c r="E1208" s="2" t="s">
        <v>16</v>
      </c>
      <c r="F1208" s="3">
        <f>+5491147011154</f>
        <v>5491147011154</v>
      </c>
      <c r="G1208" s="2" t="s">
        <v>5091</v>
      </c>
      <c r="H1208" s="2" t="s">
        <v>32</v>
      </c>
      <c r="I1208" s="2" t="s">
        <v>25</v>
      </c>
      <c r="J1208" s="2" t="s">
        <v>846</v>
      </c>
      <c r="K1208" s="4">
        <v>46119.0</v>
      </c>
      <c r="L1208" s="2" t="s">
        <v>5092</v>
      </c>
    </row>
    <row r="1209">
      <c r="A1209" s="2" t="s">
        <v>5093</v>
      </c>
      <c r="B1209" s="2" t="s">
        <v>5094</v>
      </c>
      <c r="C1209" s="2" t="s">
        <v>14</v>
      </c>
      <c r="D1209" s="2" t="s">
        <v>15</v>
      </c>
      <c r="E1209" s="2" t="s">
        <v>23</v>
      </c>
      <c r="F1209" s="3">
        <f>+5493516847398</f>
        <v>5493516847398</v>
      </c>
      <c r="G1209" s="2" t="s">
        <v>5095</v>
      </c>
      <c r="H1209" s="2" t="s">
        <v>18</v>
      </c>
      <c r="I1209" s="2" t="s">
        <v>18</v>
      </c>
      <c r="J1209" s="2" t="s">
        <v>5096</v>
      </c>
      <c r="K1209" s="4">
        <v>46119.0</v>
      </c>
      <c r="L1209" s="2" t="s">
        <v>5097</v>
      </c>
    </row>
    <row r="1210">
      <c r="A1210" s="2" t="s">
        <v>5098</v>
      </c>
      <c r="B1210" s="2" t="s">
        <v>5099</v>
      </c>
      <c r="C1210" s="2" t="s">
        <v>14</v>
      </c>
      <c r="D1210" s="2" t="s">
        <v>15</v>
      </c>
      <c r="E1210" s="2" t="s">
        <v>23</v>
      </c>
      <c r="F1210" s="3">
        <f>+5493812013340</f>
        <v>5493812013340</v>
      </c>
      <c r="G1210" s="2" t="s">
        <v>5100</v>
      </c>
      <c r="H1210" s="2" t="s">
        <v>55</v>
      </c>
      <c r="I1210" s="2" t="s">
        <v>883</v>
      </c>
      <c r="J1210" s="2" t="s">
        <v>2459</v>
      </c>
      <c r="K1210" s="4">
        <v>46119.0</v>
      </c>
      <c r="L1210" s="2" t="s">
        <v>5101</v>
      </c>
    </row>
    <row r="1211">
      <c r="A1211" s="2" t="s">
        <v>5102</v>
      </c>
      <c r="B1211" s="2" t="s">
        <v>5103</v>
      </c>
      <c r="C1211" s="2" t="s">
        <v>14</v>
      </c>
      <c r="D1211" s="2" t="s">
        <v>15</v>
      </c>
      <c r="E1211" s="2" t="s">
        <v>23</v>
      </c>
      <c r="F1211" s="3">
        <f>+5491137944689</f>
        <v>5491137944689</v>
      </c>
      <c r="G1211" s="2" t="s">
        <v>5104</v>
      </c>
      <c r="H1211" s="2" t="s">
        <v>25</v>
      </c>
      <c r="I1211" s="2" t="s">
        <v>236</v>
      </c>
      <c r="J1211" s="2" t="s">
        <v>236</v>
      </c>
      <c r="K1211" s="4">
        <v>46119.0</v>
      </c>
      <c r="L1211" s="2" t="s">
        <v>5105</v>
      </c>
    </row>
    <row r="1212">
      <c r="A1212" s="2" t="s">
        <v>5106</v>
      </c>
      <c r="B1212" s="2" t="s">
        <v>5107</v>
      </c>
      <c r="C1212" s="2" t="s">
        <v>14</v>
      </c>
      <c r="D1212" s="2" t="s">
        <v>15</v>
      </c>
      <c r="E1212" s="2" t="s">
        <v>23</v>
      </c>
      <c r="F1212" s="3">
        <f>+5491123951914</f>
        <v>5491123951914</v>
      </c>
      <c r="G1212" s="2" t="s">
        <v>5108</v>
      </c>
      <c r="H1212" s="2" t="s">
        <v>32</v>
      </c>
      <c r="I1212" s="2" t="s">
        <v>25</v>
      </c>
      <c r="J1212" s="2" t="s">
        <v>213</v>
      </c>
      <c r="K1212" s="4">
        <v>46119.0</v>
      </c>
      <c r="L1212" s="2" t="s">
        <v>5109</v>
      </c>
    </row>
    <row r="1213">
      <c r="A1213" s="2" t="s">
        <v>5110</v>
      </c>
      <c r="B1213" s="2" t="s">
        <v>5111</v>
      </c>
      <c r="C1213" s="2" t="s">
        <v>14</v>
      </c>
      <c r="D1213" s="2" t="s">
        <v>15</v>
      </c>
      <c r="E1213" s="2" t="s">
        <v>23</v>
      </c>
      <c r="F1213" s="3">
        <f>+5491149485538</f>
        <v>5491149485538</v>
      </c>
      <c r="G1213" s="2" t="s">
        <v>5112</v>
      </c>
      <c r="H1213" s="2" t="s">
        <v>25</v>
      </c>
      <c r="I1213" s="2" t="s">
        <v>84</v>
      </c>
      <c r="J1213" s="2" t="s">
        <v>744</v>
      </c>
      <c r="K1213" s="4">
        <v>46119.0</v>
      </c>
      <c r="L1213" s="2" t="s">
        <v>5113</v>
      </c>
    </row>
    <row r="1214">
      <c r="A1214" s="2" t="s">
        <v>5114</v>
      </c>
      <c r="B1214" s="2" t="s">
        <v>5115</v>
      </c>
      <c r="C1214" s="2" t="s">
        <v>14</v>
      </c>
      <c r="D1214" s="2" t="s">
        <v>15</v>
      </c>
      <c r="E1214" s="2" t="s">
        <v>16</v>
      </c>
      <c r="F1214" s="3">
        <f>+5491158471669</f>
        <v>5491158471669</v>
      </c>
      <c r="G1214" s="2" t="s">
        <v>5116</v>
      </c>
      <c r="H1214" s="2" t="s">
        <v>32</v>
      </c>
      <c r="I1214" s="2" t="s">
        <v>25</v>
      </c>
      <c r="J1214" s="2" t="s">
        <v>4751</v>
      </c>
      <c r="K1214" s="4">
        <v>46119.0</v>
      </c>
      <c r="L1214" s="2" t="s">
        <v>5117</v>
      </c>
    </row>
    <row r="1215">
      <c r="A1215" s="2" t="s">
        <v>5118</v>
      </c>
      <c r="B1215" s="2" t="s">
        <v>5119</v>
      </c>
      <c r="C1215" s="2" t="s">
        <v>14</v>
      </c>
      <c r="D1215" s="2" t="s">
        <v>15</v>
      </c>
      <c r="E1215" s="2" t="s">
        <v>23</v>
      </c>
      <c r="F1215" s="3">
        <f>+5493873303947</f>
        <v>5493873303947</v>
      </c>
      <c r="G1215" s="2" t="s">
        <v>5120</v>
      </c>
      <c r="H1215" s="2" t="s">
        <v>725</v>
      </c>
      <c r="I1215" s="2" t="s">
        <v>725</v>
      </c>
      <c r="J1215" s="2" t="s">
        <v>5121</v>
      </c>
      <c r="K1215" s="4">
        <v>46119.0</v>
      </c>
      <c r="L1215" s="2" t="s">
        <v>5122</v>
      </c>
    </row>
    <row r="1216">
      <c r="A1216" s="2" t="s">
        <v>5123</v>
      </c>
      <c r="B1216" s="2" t="s">
        <v>5124</v>
      </c>
      <c r="C1216" s="2" t="s">
        <v>14</v>
      </c>
      <c r="D1216" s="2" t="s">
        <v>15</v>
      </c>
      <c r="E1216" s="2" t="s">
        <v>23</v>
      </c>
      <c r="F1216" s="3">
        <f>+5491162453098</f>
        <v>5491162453098</v>
      </c>
      <c r="G1216" s="2" t="s">
        <v>5125</v>
      </c>
      <c r="H1216" s="2" t="s">
        <v>25</v>
      </c>
      <c r="I1216" s="2" t="s">
        <v>309</v>
      </c>
      <c r="J1216" s="2" t="s">
        <v>2681</v>
      </c>
      <c r="K1216" s="4">
        <v>46119.0</v>
      </c>
      <c r="L1216" s="2" t="s">
        <v>5126</v>
      </c>
    </row>
    <row r="1217">
      <c r="A1217" s="2" t="s">
        <v>5127</v>
      </c>
      <c r="B1217" s="2" t="s">
        <v>5128</v>
      </c>
      <c r="C1217" s="2" t="s">
        <v>185</v>
      </c>
      <c r="D1217" s="2" t="s">
        <v>15</v>
      </c>
      <c r="E1217" s="2" t="s">
        <v>23</v>
      </c>
      <c r="F1217" s="3">
        <f>+542615502988</f>
        <v>542615502988</v>
      </c>
      <c r="G1217" s="2" t="s">
        <v>5129</v>
      </c>
      <c r="H1217" s="2" t="s">
        <v>71</v>
      </c>
      <c r="I1217" s="2" t="s">
        <v>71</v>
      </c>
      <c r="J1217" s="2" t="s">
        <v>917</v>
      </c>
      <c r="K1217" s="4">
        <v>46119.0</v>
      </c>
      <c r="L1217" s="2" t="s">
        <v>5130</v>
      </c>
    </row>
    <row r="1218">
      <c r="A1218" s="2" t="s">
        <v>5131</v>
      </c>
      <c r="B1218" s="2" t="s">
        <v>5132</v>
      </c>
      <c r="C1218" s="2" t="s">
        <v>14</v>
      </c>
      <c r="D1218" s="2" t="s">
        <v>15</v>
      </c>
      <c r="E1218" s="2" t="s">
        <v>23</v>
      </c>
      <c r="F1218" s="3">
        <f>+5493489230952</f>
        <v>5493489230952</v>
      </c>
      <c r="G1218" s="2" t="s">
        <v>5133</v>
      </c>
      <c r="H1218" s="2" t="s">
        <v>25</v>
      </c>
      <c r="I1218" s="2" t="s">
        <v>1297</v>
      </c>
      <c r="J1218" s="2" t="s">
        <v>1297</v>
      </c>
      <c r="K1218" s="4">
        <v>46119.0</v>
      </c>
      <c r="L1218" s="2" t="s">
        <v>5134</v>
      </c>
    </row>
    <row r="1219">
      <c r="A1219" s="2" t="s">
        <v>5135</v>
      </c>
      <c r="B1219" s="2" t="s">
        <v>5136</v>
      </c>
      <c r="C1219" s="2" t="s">
        <v>14</v>
      </c>
      <c r="D1219" s="2" t="s">
        <v>15</v>
      </c>
      <c r="E1219" s="2" t="s">
        <v>23</v>
      </c>
      <c r="F1219" s="3">
        <f>+5493812176335</f>
        <v>5493812176335</v>
      </c>
      <c r="G1219" s="2" t="s">
        <v>5137</v>
      </c>
      <c r="H1219" s="2" t="s">
        <v>55</v>
      </c>
      <c r="I1219" s="2" t="s">
        <v>56</v>
      </c>
      <c r="J1219" s="2" t="s">
        <v>56</v>
      </c>
      <c r="K1219" s="4">
        <v>46119.0</v>
      </c>
      <c r="L1219" s="2" t="s">
        <v>5138</v>
      </c>
    </row>
    <row r="1220">
      <c r="A1220" s="2" t="s">
        <v>5139</v>
      </c>
      <c r="B1220" s="2" t="s">
        <v>5140</v>
      </c>
      <c r="C1220" s="2" t="s">
        <v>14</v>
      </c>
      <c r="D1220" s="2" t="s">
        <v>15</v>
      </c>
      <c r="E1220" s="2" t="s">
        <v>23</v>
      </c>
      <c r="F1220" s="3">
        <f>+5493513058367</f>
        <v>5493513058367</v>
      </c>
      <c r="G1220" s="2" t="s">
        <v>5141</v>
      </c>
      <c r="H1220" s="2" t="s">
        <v>18</v>
      </c>
      <c r="I1220" s="2" t="s">
        <v>18</v>
      </c>
      <c r="J1220" s="2" t="s">
        <v>1795</v>
      </c>
      <c r="K1220" s="4">
        <v>46119.0</v>
      </c>
      <c r="L1220" s="2" t="s">
        <v>5142</v>
      </c>
    </row>
    <row r="1221">
      <c r="A1221" s="2" t="s">
        <v>5143</v>
      </c>
      <c r="B1221" s="2" t="s">
        <v>5144</v>
      </c>
      <c r="C1221" s="2" t="s">
        <v>14</v>
      </c>
      <c r="D1221" s="2" t="s">
        <v>15</v>
      </c>
      <c r="E1221" s="2" t="s">
        <v>23</v>
      </c>
      <c r="F1221" s="3">
        <f>+5492215553210</f>
        <v>5492215553210</v>
      </c>
      <c r="G1221" s="2" t="s">
        <v>5145</v>
      </c>
      <c r="H1221" s="2" t="s">
        <v>25</v>
      </c>
      <c r="I1221" s="2" t="s">
        <v>44</v>
      </c>
      <c r="J1221" s="2" t="s">
        <v>44</v>
      </c>
      <c r="K1221" s="4">
        <v>46119.0</v>
      </c>
      <c r="L1221" s="2" t="s">
        <v>5146</v>
      </c>
    </row>
    <row r="1222">
      <c r="A1222" s="2" t="s">
        <v>5147</v>
      </c>
      <c r="B1222" s="2" t="s">
        <v>5148</v>
      </c>
      <c r="C1222" s="2" t="s">
        <v>14</v>
      </c>
      <c r="D1222" s="2" t="s">
        <v>15</v>
      </c>
      <c r="E1222" s="2" t="s">
        <v>23</v>
      </c>
      <c r="F1222" s="3">
        <f>+5491168641813</f>
        <v>5491168641813</v>
      </c>
      <c r="G1222" s="2" t="s">
        <v>5149</v>
      </c>
      <c r="H1222" s="2" t="s">
        <v>25</v>
      </c>
      <c r="I1222" s="2" t="s">
        <v>38</v>
      </c>
      <c r="J1222" s="2" t="s">
        <v>39</v>
      </c>
      <c r="K1222" s="4">
        <v>46119.0</v>
      </c>
      <c r="L1222" s="2" t="s">
        <v>5150</v>
      </c>
    </row>
    <row r="1223">
      <c r="A1223" s="2" t="s">
        <v>5151</v>
      </c>
      <c r="B1223" s="2" t="s">
        <v>5152</v>
      </c>
      <c r="C1223" s="2" t="s">
        <v>14</v>
      </c>
      <c r="D1223" s="2" t="s">
        <v>15</v>
      </c>
      <c r="E1223" s="2" t="s">
        <v>23</v>
      </c>
      <c r="F1223" s="3">
        <f>+5491124847610</f>
        <v>5491124847610</v>
      </c>
      <c r="G1223" s="2" t="s">
        <v>5153</v>
      </c>
      <c r="H1223" s="2" t="s">
        <v>32</v>
      </c>
      <c r="I1223" s="2" t="s">
        <v>25</v>
      </c>
      <c r="J1223" s="2" t="s">
        <v>266</v>
      </c>
      <c r="K1223" s="4">
        <v>46119.0</v>
      </c>
      <c r="L1223" s="2" t="s">
        <v>5154</v>
      </c>
    </row>
    <row r="1224">
      <c r="A1224" s="2" t="s">
        <v>5155</v>
      </c>
      <c r="B1224" s="2" t="s">
        <v>5156</v>
      </c>
      <c r="C1224" s="2" t="s">
        <v>14</v>
      </c>
      <c r="D1224" s="2" t="s">
        <v>15</v>
      </c>
      <c r="E1224" s="2" t="s">
        <v>23</v>
      </c>
      <c r="F1224" s="3">
        <f>+5491168440973</f>
        <v>5491168440973</v>
      </c>
      <c r="G1224" s="2" t="s">
        <v>5157</v>
      </c>
      <c r="H1224" s="2" t="s">
        <v>25</v>
      </c>
      <c r="I1224" s="2" t="s">
        <v>314</v>
      </c>
      <c r="J1224" s="2" t="s">
        <v>1075</v>
      </c>
      <c r="K1224" s="4">
        <v>46119.0</v>
      </c>
      <c r="L1224" s="2" t="s">
        <v>5158</v>
      </c>
    </row>
    <row r="1225">
      <c r="A1225" s="2" t="s">
        <v>5159</v>
      </c>
      <c r="B1225" s="2" t="s">
        <v>5160</v>
      </c>
      <c r="C1225" s="2" t="s">
        <v>14</v>
      </c>
      <c r="D1225" s="2" t="s">
        <v>15</v>
      </c>
      <c r="E1225" s="2" t="s">
        <v>23</v>
      </c>
      <c r="F1225" s="3">
        <f>+5493413046467</f>
        <v>5493413046467</v>
      </c>
      <c r="G1225" s="2" t="s">
        <v>5161</v>
      </c>
      <c r="H1225" s="2" t="s">
        <v>65</v>
      </c>
      <c r="I1225" s="2" t="s">
        <v>66</v>
      </c>
      <c r="J1225" s="2" t="s">
        <v>66</v>
      </c>
      <c r="K1225" s="4">
        <v>46119.0</v>
      </c>
      <c r="L1225" s="2" t="s">
        <v>5162</v>
      </c>
    </row>
    <row r="1226">
      <c r="A1226" s="2" t="s">
        <v>5163</v>
      </c>
      <c r="B1226" s="2" t="s">
        <v>5164</v>
      </c>
      <c r="C1226" s="2" t="s">
        <v>14</v>
      </c>
      <c r="D1226" s="2" t="s">
        <v>15</v>
      </c>
      <c r="E1226" s="2" t="s">
        <v>23</v>
      </c>
      <c r="F1226" s="3">
        <f>+5492614674650</f>
        <v>5492614674650</v>
      </c>
      <c r="G1226" s="2" t="s">
        <v>5165</v>
      </c>
      <c r="H1226" s="2" t="s">
        <v>71</v>
      </c>
      <c r="I1226" s="2" t="s">
        <v>902</v>
      </c>
      <c r="J1226" s="2" t="s">
        <v>1032</v>
      </c>
      <c r="K1226" s="4">
        <v>46119.0</v>
      </c>
      <c r="L1226" s="2" t="s">
        <v>5166</v>
      </c>
    </row>
    <row r="1227">
      <c r="A1227" s="2" t="s">
        <v>5167</v>
      </c>
      <c r="B1227" s="2" t="s">
        <v>5168</v>
      </c>
      <c r="C1227" s="2" t="s">
        <v>14</v>
      </c>
      <c r="D1227" s="2" t="s">
        <v>15</v>
      </c>
      <c r="E1227" s="2" t="s">
        <v>23</v>
      </c>
      <c r="F1227" s="3">
        <f>+5491170617205</f>
        <v>5491170617205</v>
      </c>
      <c r="G1227" s="2" t="s">
        <v>5169</v>
      </c>
      <c r="H1227" s="2" t="s">
        <v>32</v>
      </c>
      <c r="I1227" s="2" t="s">
        <v>25</v>
      </c>
      <c r="J1227" s="2" t="s">
        <v>373</v>
      </c>
      <c r="K1227" s="4">
        <v>46119.0</v>
      </c>
      <c r="L1227" s="2" t="s">
        <v>5170</v>
      </c>
    </row>
    <row r="1228">
      <c r="A1228" s="2" t="s">
        <v>5171</v>
      </c>
      <c r="B1228" s="2" t="s">
        <v>5172</v>
      </c>
      <c r="C1228" s="2" t="s">
        <v>14</v>
      </c>
      <c r="D1228" s="2" t="s">
        <v>15</v>
      </c>
      <c r="E1228" s="2" t="s">
        <v>23</v>
      </c>
      <c r="F1228" s="3">
        <f>+5491128171066</f>
        <v>5491128171066</v>
      </c>
      <c r="G1228" s="2" t="s">
        <v>5173</v>
      </c>
      <c r="H1228" s="2" t="s">
        <v>25</v>
      </c>
      <c r="I1228" s="2" t="s">
        <v>309</v>
      </c>
      <c r="J1228" s="2" t="s">
        <v>309</v>
      </c>
      <c r="K1228" s="4">
        <v>46119.0</v>
      </c>
      <c r="L1228" s="2" t="s">
        <v>5174</v>
      </c>
    </row>
    <row r="1229">
      <c r="A1229" s="2" t="s">
        <v>5175</v>
      </c>
      <c r="B1229" s="2" t="s">
        <v>5176</v>
      </c>
      <c r="C1229" s="2" t="s">
        <v>14</v>
      </c>
      <c r="D1229" s="2" t="s">
        <v>15</v>
      </c>
      <c r="E1229" s="2" t="s">
        <v>23</v>
      </c>
      <c r="F1229" s="3">
        <f>+5491132274474</f>
        <v>5491132274474</v>
      </c>
      <c r="G1229" s="2" t="s">
        <v>5177</v>
      </c>
      <c r="H1229" s="2" t="s">
        <v>25</v>
      </c>
      <c r="I1229" s="2" t="s">
        <v>78</v>
      </c>
      <c r="J1229" s="2" t="s">
        <v>78</v>
      </c>
      <c r="K1229" s="4">
        <v>46119.0</v>
      </c>
      <c r="L1229" s="2" t="s">
        <v>5178</v>
      </c>
    </row>
    <row r="1230">
      <c r="A1230" s="2" t="s">
        <v>5179</v>
      </c>
      <c r="B1230" s="2" t="s">
        <v>5180</v>
      </c>
      <c r="C1230" s="2" t="s">
        <v>14</v>
      </c>
      <c r="D1230" s="2" t="s">
        <v>15</v>
      </c>
      <c r="E1230" s="2" t="s">
        <v>16</v>
      </c>
      <c r="F1230" s="3">
        <f>+5491137680750</f>
        <v>5491137680750</v>
      </c>
      <c r="G1230" s="2" t="s">
        <v>5181</v>
      </c>
      <c r="H1230" s="2" t="s">
        <v>25</v>
      </c>
      <c r="I1230" s="2" t="s">
        <v>230</v>
      </c>
      <c r="J1230" s="2" t="s">
        <v>851</v>
      </c>
      <c r="K1230" s="4">
        <v>46119.0</v>
      </c>
      <c r="L1230" s="2" t="s">
        <v>5182</v>
      </c>
    </row>
    <row r="1231">
      <c r="A1231" s="2" t="s">
        <v>5183</v>
      </c>
      <c r="B1231" s="2" t="s">
        <v>5184</v>
      </c>
      <c r="C1231" s="2" t="s">
        <v>14</v>
      </c>
      <c r="D1231" s="2" t="s">
        <v>15</v>
      </c>
      <c r="E1231" s="2" t="s">
        <v>23</v>
      </c>
      <c r="F1231" s="3">
        <f>+5491121937443</f>
        <v>5491121937443</v>
      </c>
      <c r="G1231" s="2" t="s">
        <v>5185</v>
      </c>
      <c r="H1231" s="2" t="s">
        <v>25</v>
      </c>
      <c r="I1231" s="2" t="s">
        <v>49</v>
      </c>
      <c r="J1231" s="2" t="s">
        <v>49</v>
      </c>
      <c r="K1231" s="4">
        <v>46119.0</v>
      </c>
      <c r="L1231" s="2" t="s">
        <v>5186</v>
      </c>
    </row>
    <row r="1232">
      <c r="A1232" s="2" t="s">
        <v>5187</v>
      </c>
      <c r="B1232" s="2" t="s">
        <v>5188</v>
      </c>
      <c r="C1232" s="2" t="s">
        <v>14</v>
      </c>
      <c r="D1232" s="2" t="s">
        <v>15</v>
      </c>
      <c r="E1232" s="2" t="s">
        <v>23</v>
      </c>
      <c r="F1232" s="3">
        <f>+5491139089245</f>
        <v>5491139089245</v>
      </c>
      <c r="G1232" s="2" t="s">
        <v>5189</v>
      </c>
      <c r="H1232" s="2" t="s">
        <v>25</v>
      </c>
      <c r="I1232" s="2" t="s">
        <v>49</v>
      </c>
      <c r="J1232" s="2" t="s">
        <v>418</v>
      </c>
      <c r="K1232" s="4">
        <v>46119.0</v>
      </c>
      <c r="L1232" s="2" t="s">
        <v>5190</v>
      </c>
    </row>
    <row r="1233">
      <c r="A1233" s="2" t="s">
        <v>5191</v>
      </c>
      <c r="B1233" s="2" t="s">
        <v>5192</v>
      </c>
      <c r="C1233" s="2" t="s">
        <v>14</v>
      </c>
      <c r="D1233" s="2" t="s">
        <v>15</v>
      </c>
      <c r="E1233" s="2" t="s">
        <v>23</v>
      </c>
      <c r="F1233" s="3">
        <f>+5491126704113</f>
        <v>5491126704113</v>
      </c>
      <c r="G1233" s="2" t="s">
        <v>5193</v>
      </c>
      <c r="H1233" s="2" t="s">
        <v>25</v>
      </c>
      <c r="I1233" s="2" t="s">
        <v>764</v>
      </c>
      <c r="J1233" s="2" t="s">
        <v>765</v>
      </c>
      <c r="K1233" s="4">
        <v>46119.0</v>
      </c>
      <c r="L1233" s="2" t="s">
        <v>5194</v>
      </c>
    </row>
    <row r="1234">
      <c r="A1234" s="2" t="s">
        <v>5195</v>
      </c>
      <c r="B1234" s="2" t="s">
        <v>5196</v>
      </c>
      <c r="C1234" s="2" t="s">
        <v>14</v>
      </c>
      <c r="D1234" s="2" t="s">
        <v>15</v>
      </c>
      <c r="E1234" s="2" t="s">
        <v>23</v>
      </c>
      <c r="F1234" s="3">
        <f>+5491164653787</f>
        <v>5491164653787</v>
      </c>
      <c r="G1234" s="2" t="s">
        <v>5197</v>
      </c>
      <c r="H1234" s="2" t="s">
        <v>25</v>
      </c>
      <c r="I1234" s="2" t="s">
        <v>314</v>
      </c>
      <c r="J1234" s="2" t="s">
        <v>315</v>
      </c>
      <c r="K1234" s="4">
        <v>46119.0</v>
      </c>
      <c r="L1234" s="2" t="s">
        <v>5198</v>
      </c>
    </row>
    <row r="1235">
      <c r="A1235" s="2" t="s">
        <v>5199</v>
      </c>
      <c r="B1235" s="2" t="s">
        <v>5200</v>
      </c>
      <c r="C1235" s="2" t="s">
        <v>14</v>
      </c>
      <c r="D1235" s="2" t="s">
        <v>15</v>
      </c>
      <c r="E1235" s="2" t="s">
        <v>23</v>
      </c>
      <c r="F1235" s="3">
        <f>+5493492252322</f>
        <v>5493492252322</v>
      </c>
      <c r="G1235" s="2" t="s">
        <v>5201</v>
      </c>
      <c r="H1235" s="2" t="s">
        <v>65</v>
      </c>
      <c r="I1235" s="2" t="s">
        <v>1000</v>
      </c>
      <c r="J1235" s="2" t="s">
        <v>1000</v>
      </c>
      <c r="K1235" s="4">
        <v>46119.0</v>
      </c>
      <c r="L1235" s="2" t="s">
        <v>5202</v>
      </c>
    </row>
    <row r="1236">
      <c r="A1236" s="2" t="s">
        <v>5203</v>
      </c>
      <c r="B1236" s="2" t="s">
        <v>5204</v>
      </c>
      <c r="C1236" s="2" t="s">
        <v>14</v>
      </c>
      <c r="D1236" s="2" t="s">
        <v>15</v>
      </c>
      <c r="E1236" s="2" t="s">
        <v>23</v>
      </c>
      <c r="F1236" s="3">
        <f>+5493816516840</f>
        <v>5493816516840</v>
      </c>
      <c r="G1236" s="2" t="s">
        <v>5205</v>
      </c>
      <c r="H1236" s="2" t="s">
        <v>55</v>
      </c>
      <c r="I1236" s="2" t="s">
        <v>883</v>
      </c>
      <c r="J1236" s="2" t="s">
        <v>2400</v>
      </c>
      <c r="K1236" s="4">
        <v>46119.0</v>
      </c>
      <c r="L1236" s="2" t="s">
        <v>5206</v>
      </c>
    </row>
    <row r="1237">
      <c r="A1237" s="2" t="s">
        <v>5207</v>
      </c>
      <c r="B1237" s="2" t="s">
        <v>5208</v>
      </c>
      <c r="C1237" s="2" t="s">
        <v>14</v>
      </c>
      <c r="D1237" s="2" t="s">
        <v>15</v>
      </c>
      <c r="E1237" s="2" t="s">
        <v>23</v>
      </c>
      <c r="F1237" s="3">
        <f>+5493413001728</f>
        <v>5493413001728</v>
      </c>
      <c r="G1237" s="2" t="s">
        <v>5209</v>
      </c>
      <c r="H1237" s="2" t="s">
        <v>65</v>
      </c>
      <c r="I1237" s="2" t="s">
        <v>218</v>
      </c>
      <c r="J1237" s="2" t="s">
        <v>219</v>
      </c>
      <c r="K1237" s="4">
        <v>46119.0</v>
      </c>
      <c r="L1237" s="2" t="s">
        <v>5210</v>
      </c>
    </row>
    <row r="1238">
      <c r="A1238" s="2" t="s">
        <v>5211</v>
      </c>
      <c r="B1238" s="2" t="s">
        <v>5212</v>
      </c>
      <c r="C1238" s="2" t="s">
        <v>14</v>
      </c>
      <c r="D1238" s="2" t="s">
        <v>15</v>
      </c>
      <c r="E1238" s="2" t="s">
        <v>23</v>
      </c>
      <c r="F1238" s="3">
        <f>+5491125283889</f>
        <v>5491125283889</v>
      </c>
      <c r="G1238" s="2" t="s">
        <v>5079</v>
      </c>
      <c r="H1238" s="2" t="s">
        <v>32</v>
      </c>
      <c r="I1238" s="2" t="s">
        <v>25</v>
      </c>
      <c r="J1238" s="2" t="s">
        <v>874</v>
      </c>
      <c r="K1238" s="4">
        <v>46119.0</v>
      </c>
      <c r="L1238" s="2" t="s">
        <v>5080</v>
      </c>
    </row>
    <row r="1239">
      <c r="A1239" s="2" t="s">
        <v>5213</v>
      </c>
      <c r="B1239" s="2" t="s">
        <v>5214</v>
      </c>
      <c r="C1239" s="2" t="s">
        <v>14</v>
      </c>
      <c r="D1239" s="2" t="s">
        <v>15</v>
      </c>
      <c r="E1239" s="2" t="s">
        <v>23</v>
      </c>
      <c r="F1239" s="3">
        <f>+5493816495557</f>
        <v>5493816495557</v>
      </c>
      <c r="G1239" s="2" t="s">
        <v>5215</v>
      </c>
      <c r="H1239" s="2" t="s">
        <v>55</v>
      </c>
      <c r="I1239" s="2" t="s">
        <v>883</v>
      </c>
      <c r="J1239" s="2" t="s">
        <v>2459</v>
      </c>
      <c r="K1239" s="4">
        <v>46119.0</v>
      </c>
      <c r="L1239" s="2" t="s">
        <v>5216</v>
      </c>
    </row>
    <row r="1240">
      <c r="A1240" s="2" t="s">
        <v>5217</v>
      </c>
      <c r="B1240" s="2" t="s">
        <v>5218</v>
      </c>
      <c r="C1240" s="2" t="s">
        <v>14</v>
      </c>
      <c r="D1240" s="2" t="s">
        <v>15</v>
      </c>
      <c r="E1240" s="2" t="s">
        <v>23</v>
      </c>
      <c r="F1240" s="3">
        <f>+5491169628278</f>
        <v>5491169628278</v>
      </c>
      <c r="G1240" s="2" t="s">
        <v>5219</v>
      </c>
      <c r="H1240" s="2" t="s">
        <v>25</v>
      </c>
      <c r="I1240" s="2" t="s">
        <v>26</v>
      </c>
      <c r="J1240" s="2" t="s">
        <v>4521</v>
      </c>
      <c r="K1240" s="4">
        <v>46119.0</v>
      </c>
      <c r="L1240" s="2" t="s">
        <v>5220</v>
      </c>
    </row>
    <row r="1241">
      <c r="A1241" s="2" t="s">
        <v>5221</v>
      </c>
      <c r="B1241" s="2" t="s">
        <v>5222</v>
      </c>
      <c r="C1241" s="2" t="s">
        <v>14</v>
      </c>
      <c r="D1241" s="2" t="s">
        <v>15</v>
      </c>
      <c r="E1241" s="2" t="s">
        <v>23</v>
      </c>
      <c r="F1241" s="3">
        <f>+5491162956572</f>
        <v>5491162956572</v>
      </c>
      <c r="G1241" s="2" t="s">
        <v>5223</v>
      </c>
      <c r="H1241" s="2" t="s">
        <v>32</v>
      </c>
      <c r="I1241" s="2" t="s">
        <v>25</v>
      </c>
      <c r="J1241" s="2" t="s">
        <v>5224</v>
      </c>
      <c r="K1241" s="4">
        <v>46119.0</v>
      </c>
      <c r="L1241" s="2" t="s">
        <v>5225</v>
      </c>
    </row>
    <row r="1242">
      <c r="A1242" s="2" t="s">
        <v>5226</v>
      </c>
      <c r="B1242" s="2" t="s">
        <v>5227</v>
      </c>
      <c r="C1242" s="2" t="s">
        <v>14</v>
      </c>
      <c r="D1242" s="2" t="s">
        <v>15</v>
      </c>
      <c r="E1242" s="2" t="s">
        <v>16</v>
      </c>
      <c r="F1242" s="3">
        <f>+5491161531872</f>
        <v>5491161531872</v>
      </c>
      <c r="G1242" s="2" t="s">
        <v>5228</v>
      </c>
      <c r="H1242" s="2" t="s">
        <v>32</v>
      </c>
      <c r="I1242" s="2" t="s">
        <v>25</v>
      </c>
      <c r="J1242" s="2" t="s">
        <v>759</v>
      </c>
      <c r="K1242" s="4">
        <v>46119.0</v>
      </c>
      <c r="L1242" s="2" t="s">
        <v>5229</v>
      </c>
    </row>
    <row r="1243">
      <c r="A1243" s="2" t="s">
        <v>5230</v>
      </c>
      <c r="B1243" s="2" t="s">
        <v>5231</v>
      </c>
      <c r="C1243" s="2" t="s">
        <v>14</v>
      </c>
      <c r="D1243" s="2" t="s">
        <v>15</v>
      </c>
      <c r="E1243" s="2" t="s">
        <v>23</v>
      </c>
      <c r="F1243" s="3">
        <f>+5491166520592</f>
        <v>5491166520592</v>
      </c>
      <c r="G1243" s="2" t="s">
        <v>5232</v>
      </c>
      <c r="H1243" s="2" t="s">
        <v>25</v>
      </c>
      <c r="I1243" s="2" t="s">
        <v>486</v>
      </c>
      <c r="J1243" s="2" t="s">
        <v>754</v>
      </c>
      <c r="K1243" s="4">
        <v>46119.0</v>
      </c>
      <c r="L1243" s="2" t="s">
        <v>5233</v>
      </c>
    </row>
    <row r="1244">
      <c r="A1244" s="2" t="s">
        <v>5234</v>
      </c>
      <c r="B1244" s="2" t="s">
        <v>5235</v>
      </c>
      <c r="C1244" s="2" t="s">
        <v>14</v>
      </c>
      <c r="D1244" s="2" t="s">
        <v>15</v>
      </c>
      <c r="E1244" s="2" t="s">
        <v>23</v>
      </c>
      <c r="F1244" s="3">
        <f>+5491137579235</f>
        <v>5491137579235</v>
      </c>
      <c r="G1244" s="2" t="s">
        <v>5236</v>
      </c>
      <c r="H1244" s="2" t="s">
        <v>32</v>
      </c>
      <c r="I1244" s="2" t="s">
        <v>25</v>
      </c>
      <c r="J1244" s="2" t="s">
        <v>1444</v>
      </c>
      <c r="K1244" s="4">
        <v>46119.0</v>
      </c>
      <c r="L1244" s="2" t="s">
        <v>5237</v>
      </c>
    </row>
    <row r="1245">
      <c r="A1245" s="2" t="s">
        <v>5238</v>
      </c>
      <c r="B1245" s="2" t="s">
        <v>5239</v>
      </c>
      <c r="C1245" s="2" t="s">
        <v>14</v>
      </c>
      <c r="D1245" s="2" t="s">
        <v>15</v>
      </c>
      <c r="E1245" s="2" t="s">
        <v>23</v>
      </c>
      <c r="F1245" s="3">
        <f>+5493877415532</f>
        <v>5493877415532</v>
      </c>
      <c r="G1245" s="2" t="s">
        <v>5240</v>
      </c>
      <c r="H1245" s="2" t="s">
        <v>725</v>
      </c>
      <c r="I1245" s="2" t="s">
        <v>725</v>
      </c>
      <c r="J1245" s="2" t="s">
        <v>219</v>
      </c>
      <c r="K1245" s="4">
        <v>46119.0</v>
      </c>
      <c r="L1245" s="2" t="s">
        <v>5241</v>
      </c>
    </row>
    <row r="1246">
      <c r="A1246" s="2" t="s">
        <v>5242</v>
      </c>
      <c r="B1246" s="2" t="s">
        <v>5243</v>
      </c>
      <c r="C1246" s="2" t="s">
        <v>14</v>
      </c>
      <c r="D1246" s="2" t="s">
        <v>15</v>
      </c>
      <c r="E1246" s="2" t="s">
        <v>23</v>
      </c>
      <c r="F1246" s="3">
        <f>+5491131045005</f>
        <v>5491131045005</v>
      </c>
      <c r="G1246" s="2" t="s">
        <v>5244</v>
      </c>
      <c r="H1246" s="2" t="s">
        <v>32</v>
      </c>
      <c r="I1246" s="2" t="s">
        <v>25</v>
      </c>
      <c r="J1246" s="2" t="s">
        <v>594</v>
      </c>
      <c r="K1246" s="4">
        <v>46119.0</v>
      </c>
      <c r="L1246" s="2" t="s">
        <v>5245</v>
      </c>
    </row>
    <row r="1247">
      <c r="A1247" s="2" t="s">
        <v>5246</v>
      </c>
      <c r="B1247" s="2" t="s">
        <v>5247</v>
      </c>
      <c r="C1247" s="2" t="s">
        <v>14</v>
      </c>
      <c r="D1247" s="2" t="s">
        <v>15</v>
      </c>
      <c r="E1247" s="2" t="s">
        <v>23</v>
      </c>
      <c r="F1247" s="3">
        <f>+5492613337022</f>
        <v>5492613337022</v>
      </c>
      <c r="G1247" s="2" t="s">
        <v>5248</v>
      </c>
      <c r="H1247" s="2" t="s">
        <v>71</v>
      </c>
      <c r="I1247" s="2" t="s">
        <v>72</v>
      </c>
      <c r="J1247" s="2" t="s">
        <v>336</v>
      </c>
      <c r="K1247" s="4">
        <v>46119.0</v>
      </c>
      <c r="L1247" s="2" t="s">
        <v>5249</v>
      </c>
    </row>
    <row r="1248">
      <c r="A1248" s="2" t="s">
        <v>5250</v>
      </c>
      <c r="B1248" s="2" t="s">
        <v>5251</v>
      </c>
      <c r="C1248" s="2" t="s">
        <v>14</v>
      </c>
      <c r="D1248" s="2" t="s">
        <v>15</v>
      </c>
      <c r="E1248" s="2" t="s">
        <v>23</v>
      </c>
      <c r="F1248" s="3">
        <f>+5491160219052</f>
        <v>5491160219052</v>
      </c>
      <c r="G1248" s="2" t="s">
        <v>5252</v>
      </c>
      <c r="H1248" s="2" t="s">
        <v>25</v>
      </c>
      <c r="I1248" s="2" t="s">
        <v>357</v>
      </c>
      <c r="J1248" s="2" t="s">
        <v>787</v>
      </c>
      <c r="K1248" s="4">
        <v>46119.0</v>
      </c>
      <c r="L1248" s="2" t="s">
        <v>5253</v>
      </c>
    </row>
    <row r="1249">
      <c r="A1249" s="2" t="s">
        <v>5254</v>
      </c>
      <c r="B1249" s="2" t="s">
        <v>5255</v>
      </c>
      <c r="C1249" s="2" t="s">
        <v>14</v>
      </c>
      <c r="D1249" s="2" t="s">
        <v>15</v>
      </c>
      <c r="E1249" s="2" t="s">
        <v>23</v>
      </c>
      <c r="F1249" s="3">
        <f>+5493513887245</f>
        <v>5493513887245</v>
      </c>
      <c r="G1249" s="2" t="s">
        <v>5256</v>
      </c>
      <c r="H1249" s="2" t="s">
        <v>18</v>
      </c>
      <c r="I1249" s="2" t="s">
        <v>18</v>
      </c>
      <c r="J1249" s="2" t="s">
        <v>5257</v>
      </c>
      <c r="K1249" s="4">
        <v>46119.0</v>
      </c>
      <c r="L1249" s="2" t="s">
        <v>5258</v>
      </c>
    </row>
    <row r="1250">
      <c r="A1250" s="2" t="s">
        <v>5259</v>
      </c>
      <c r="B1250" s="2" t="s">
        <v>5260</v>
      </c>
      <c r="C1250" s="2" t="s">
        <v>14</v>
      </c>
      <c r="D1250" s="2" t="s">
        <v>15</v>
      </c>
      <c r="E1250" s="2" t="s">
        <v>23</v>
      </c>
      <c r="F1250" s="3">
        <f>+5491171120829</f>
        <v>5491171120829</v>
      </c>
      <c r="G1250" s="2" t="s">
        <v>5261</v>
      </c>
      <c r="H1250" s="2" t="s">
        <v>25</v>
      </c>
      <c r="I1250" s="2" t="s">
        <v>357</v>
      </c>
      <c r="J1250" s="2" t="s">
        <v>4029</v>
      </c>
      <c r="K1250" s="4">
        <v>46118.0</v>
      </c>
      <c r="L1250" s="2" t="s">
        <v>5262</v>
      </c>
    </row>
    <row r="1251">
      <c r="A1251" s="2" t="s">
        <v>5263</v>
      </c>
      <c r="B1251" s="2" t="s">
        <v>5264</v>
      </c>
      <c r="C1251" s="2" t="s">
        <v>14</v>
      </c>
      <c r="D1251" s="2" t="s">
        <v>15</v>
      </c>
      <c r="E1251" s="2" t="s">
        <v>23</v>
      </c>
      <c r="F1251" s="3">
        <f>+5493517518884</f>
        <v>5493517518884</v>
      </c>
      <c r="G1251" s="2" t="s">
        <v>5265</v>
      </c>
      <c r="H1251" s="2" t="s">
        <v>18</v>
      </c>
      <c r="I1251" s="2" t="s">
        <v>18</v>
      </c>
      <c r="J1251" s="2" t="s">
        <v>2905</v>
      </c>
      <c r="K1251" s="4">
        <v>46118.0</v>
      </c>
      <c r="L1251" s="2" t="s">
        <v>5266</v>
      </c>
    </row>
    <row r="1252">
      <c r="A1252" s="2" t="s">
        <v>5267</v>
      </c>
      <c r="B1252" s="2" t="s">
        <v>5268</v>
      </c>
      <c r="C1252" s="2" t="s">
        <v>14</v>
      </c>
      <c r="D1252" s="2" t="s">
        <v>15</v>
      </c>
      <c r="E1252" s="2" t="s">
        <v>23</v>
      </c>
      <c r="F1252" s="3">
        <f>+5491122534269</f>
        <v>5491122534269</v>
      </c>
      <c r="G1252" s="2" t="s">
        <v>5269</v>
      </c>
      <c r="H1252" s="2" t="s">
        <v>32</v>
      </c>
      <c r="I1252" s="2" t="s">
        <v>25</v>
      </c>
      <c r="J1252" s="2" t="s">
        <v>2990</v>
      </c>
      <c r="K1252" s="4">
        <v>46118.0</v>
      </c>
      <c r="L1252" s="2" t="s">
        <v>5270</v>
      </c>
    </row>
    <row r="1253">
      <c r="A1253" s="2" t="s">
        <v>5271</v>
      </c>
      <c r="B1253" s="2" t="s">
        <v>5272</v>
      </c>
      <c r="C1253" s="2" t="s">
        <v>14</v>
      </c>
      <c r="D1253" s="2" t="s">
        <v>15</v>
      </c>
      <c r="E1253" s="2" t="s">
        <v>16</v>
      </c>
      <c r="F1253" s="3">
        <f>+5493513522574</f>
        <v>5493513522574</v>
      </c>
      <c r="G1253" s="2" t="s">
        <v>5273</v>
      </c>
      <c r="H1253" s="2" t="s">
        <v>18</v>
      </c>
      <c r="I1253" s="2" t="s">
        <v>18</v>
      </c>
      <c r="J1253" s="2" t="s">
        <v>5274</v>
      </c>
      <c r="K1253" s="4">
        <v>46118.0</v>
      </c>
      <c r="L1253" s="2" t="s">
        <v>5275</v>
      </c>
    </row>
    <row r="1254">
      <c r="A1254" s="2" t="s">
        <v>5276</v>
      </c>
      <c r="B1254" s="2" t="s">
        <v>5277</v>
      </c>
      <c r="C1254" s="2" t="s">
        <v>14</v>
      </c>
      <c r="D1254" s="2" t="s">
        <v>15</v>
      </c>
      <c r="E1254" s="2" t="s">
        <v>23</v>
      </c>
      <c r="F1254" s="3">
        <f>+5491133353259</f>
        <v>5491133353259</v>
      </c>
      <c r="G1254" s="2" t="s">
        <v>5278</v>
      </c>
      <c r="H1254" s="2" t="s">
        <v>25</v>
      </c>
      <c r="I1254" s="2" t="s">
        <v>97</v>
      </c>
      <c r="J1254" s="2" t="s">
        <v>697</v>
      </c>
      <c r="K1254" s="4">
        <v>46118.0</v>
      </c>
      <c r="L1254" s="2" t="s">
        <v>5279</v>
      </c>
    </row>
    <row r="1255">
      <c r="A1255" s="2" t="s">
        <v>5280</v>
      </c>
      <c r="B1255" s="2" t="s">
        <v>5281</v>
      </c>
      <c r="C1255" s="2" t="s">
        <v>14</v>
      </c>
      <c r="D1255" s="2" t="s">
        <v>15</v>
      </c>
      <c r="E1255" s="2" t="s">
        <v>23</v>
      </c>
      <c r="F1255" s="3">
        <f>+5492613370773</f>
        <v>5492613370773</v>
      </c>
      <c r="G1255" s="2" t="s">
        <v>5282</v>
      </c>
      <c r="H1255" s="2" t="s">
        <v>71</v>
      </c>
      <c r="I1255" s="2" t="s">
        <v>71</v>
      </c>
      <c r="J1255" s="2" t="s">
        <v>3895</v>
      </c>
      <c r="K1255" s="4">
        <v>46118.0</v>
      </c>
      <c r="L1255" s="2" t="s">
        <v>5283</v>
      </c>
    </row>
    <row r="1256">
      <c r="A1256" s="2" t="s">
        <v>5284</v>
      </c>
      <c r="B1256" s="2" t="s">
        <v>5285</v>
      </c>
      <c r="C1256" s="2" t="s">
        <v>14</v>
      </c>
      <c r="D1256" s="2" t="s">
        <v>15</v>
      </c>
      <c r="E1256" s="2" t="s">
        <v>23</v>
      </c>
      <c r="F1256" s="3">
        <f>+5491136961051</f>
        <v>5491136961051</v>
      </c>
      <c r="G1256" s="2" t="s">
        <v>5286</v>
      </c>
      <c r="H1256" s="2" t="s">
        <v>25</v>
      </c>
      <c r="I1256" s="2" t="s">
        <v>309</v>
      </c>
      <c r="J1256" s="2" t="s">
        <v>309</v>
      </c>
      <c r="K1256" s="4">
        <v>46118.0</v>
      </c>
      <c r="L1256" s="2" t="s">
        <v>5287</v>
      </c>
    </row>
    <row r="1257">
      <c r="A1257" s="2" t="s">
        <v>5288</v>
      </c>
      <c r="B1257" s="2" t="s">
        <v>5289</v>
      </c>
      <c r="C1257" s="2" t="s">
        <v>14</v>
      </c>
      <c r="D1257" s="2" t="s">
        <v>15</v>
      </c>
      <c r="E1257" s="2" t="s">
        <v>23</v>
      </c>
      <c r="F1257" s="3">
        <f>+5492216108116</f>
        <v>5492216108116</v>
      </c>
      <c r="G1257" s="2" t="s">
        <v>5290</v>
      </c>
      <c r="H1257" s="2" t="s">
        <v>25</v>
      </c>
      <c r="I1257" s="2" t="s">
        <v>44</v>
      </c>
      <c r="J1257" s="2" t="s">
        <v>44</v>
      </c>
      <c r="K1257" s="4">
        <v>46118.0</v>
      </c>
      <c r="L1257" s="2" t="s">
        <v>5291</v>
      </c>
    </row>
    <row r="1258">
      <c r="A1258" s="2" t="s">
        <v>5292</v>
      </c>
      <c r="B1258" s="2" t="s">
        <v>5293</v>
      </c>
      <c r="C1258" s="2" t="s">
        <v>14</v>
      </c>
      <c r="D1258" s="2" t="s">
        <v>15</v>
      </c>
      <c r="E1258" s="2" t="s">
        <v>23</v>
      </c>
      <c r="F1258" s="3">
        <f>+5491169701612</f>
        <v>5491169701612</v>
      </c>
      <c r="G1258" s="2" t="s">
        <v>5294</v>
      </c>
      <c r="H1258" s="2" t="s">
        <v>32</v>
      </c>
      <c r="I1258" s="2" t="s">
        <v>25</v>
      </c>
      <c r="J1258" s="2" t="s">
        <v>874</v>
      </c>
      <c r="K1258" s="4">
        <v>46118.0</v>
      </c>
      <c r="L1258" s="2" t="s">
        <v>5295</v>
      </c>
    </row>
    <row r="1259">
      <c r="A1259" s="2" t="s">
        <v>5296</v>
      </c>
      <c r="B1259" s="2" t="s">
        <v>5297</v>
      </c>
      <c r="C1259" s="2" t="s">
        <v>14</v>
      </c>
      <c r="D1259" s="2" t="s">
        <v>15</v>
      </c>
      <c r="E1259" s="2" t="s">
        <v>23</v>
      </c>
      <c r="F1259" s="3">
        <f>+5491131458737</f>
        <v>5491131458737</v>
      </c>
      <c r="G1259" s="2" t="s">
        <v>5298</v>
      </c>
      <c r="H1259" s="2" t="s">
        <v>25</v>
      </c>
      <c r="I1259" s="2" t="s">
        <v>971</v>
      </c>
      <c r="J1259" s="2" t="s">
        <v>1688</v>
      </c>
      <c r="K1259" s="4">
        <v>46118.0</v>
      </c>
      <c r="L1259" s="2" t="s">
        <v>5299</v>
      </c>
    </row>
    <row r="1260">
      <c r="A1260" s="2" t="s">
        <v>5300</v>
      </c>
      <c r="B1260" s="2" t="s">
        <v>5301</v>
      </c>
      <c r="C1260" s="2" t="s">
        <v>14</v>
      </c>
      <c r="D1260" s="2" t="s">
        <v>15</v>
      </c>
      <c r="E1260" s="2" t="s">
        <v>23</v>
      </c>
      <c r="F1260" s="3">
        <f>+5491151172220</f>
        <v>5491151172220</v>
      </c>
      <c r="G1260" s="2" t="s">
        <v>5302</v>
      </c>
      <c r="H1260" s="2" t="s">
        <v>25</v>
      </c>
      <c r="I1260" s="2" t="s">
        <v>78</v>
      </c>
      <c r="J1260" s="2" t="s">
        <v>5303</v>
      </c>
      <c r="K1260" s="4">
        <v>46118.0</v>
      </c>
      <c r="L1260" s="2" t="s">
        <v>5304</v>
      </c>
    </row>
    <row r="1261">
      <c r="A1261" s="2" t="s">
        <v>5305</v>
      </c>
      <c r="B1261" s="2" t="s">
        <v>5306</v>
      </c>
      <c r="C1261" s="2" t="s">
        <v>14</v>
      </c>
      <c r="D1261" s="2" t="s">
        <v>15</v>
      </c>
      <c r="E1261" s="2" t="s">
        <v>23</v>
      </c>
      <c r="F1261" s="3">
        <f>+5493516455556</f>
        <v>5493516455556</v>
      </c>
      <c r="G1261" s="2" t="s">
        <v>5307</v>
      </c>
      <c r="H1261" s="2" t="s">
        <v>18</v>
      </c>
      <c r="I1261" s="2" t="s">
        <v>18</v>
      </c>
      <c r="J1261" s="2" t="s">
        <v>1056</v>
      </c>
      <c r="K1261" s="4">
        <v>46118.0</v>
      </c>
      <c r="L1261" s="2" t="s">
        <v>5308</v>
      </c>
    </row>
    <row r="1262">
      <c r="A1262" s="2" t="s">
        <v>5309</v>
      </c>
      <c r="B1262" s="2" t="s">
        <v>5310</v>
      </c>
      <c r="C1262" s="2" t="s">
        <v>14</v>
      </c>
      <c r="D1262" s="2" t="s">
        <v>15</v>
      </c>
      <c r="E1262" s="2" t="s">
        <v>23</v>
      </c>
      <c r="F1262" s="3">
        <f>+5491131731991</f>
        <v>5491131731991</v>
      </c>
      <c r="G1262" s="2" t="s">
        <v>5311</v>
      </c>
      <c r="H1262" s="2" t="s">
        <v>25</v>
      </c>
      <c r="I1262" s="2" t="s">
        <v>49</v>
      </c>
      <c r="J1262" s="2" t="s">
        <v>4575</v>
      </c>
      <c r="K1262" s="4">
        <v>46118.0</v>
      </c>
      <c r="L1262" s="2" t="s">
        <v>5312</v>
      </c>
    </row>
    <row r="1263">
      <c r="A1263" s="2" t="s">
        <v>5313</v>
      </c>
      <c r="B1263" s="2" t="s">
        <v>5314</v>
      </c>
      <c r="C1263" s="2" t="s">
        <v>14</v>
      </c>
      <c r="D1263" s="2" t="s">
        <v>15</v>
      </c>
      <c r="E1263" s="2" t="s">
        <v>23</v>
      </c>
      <c r="F1263" s="3">
        <f>+5491152212240</f>
        <v>5491152212240</v>
      </c>
      <c r="G1263" s="2" t="s">
        <v>5315</v>
      </c>
      <c r="H1263" s="2" t="s">
        <v>25</v>
      </c>
      <c r="I1263" s="2" t="s">
        <v>241</v>
      </c>
      <c r="J1263" s="2" t="s">
        <v>241</v>
      </c>
      <c r="K1263" s="4">
        <v>46118.0</v>
      </c>
      <c r="L1263" s="2" t="s">
        <v>5316</v>
      </c>
    </row>
    <row r="1264">
      <c r="A1264" s="2" t="s">
        <v>5317</v>
      </c>
      <c r="B1264" s="2" t="s">
        <v>5318</v>
      </c>
      <c r="C1264" s="2" t="s">
        <v>14</v>
      </c>
      <c r="D1264" s="2" t="s">
        <v>15</v>
      </c>
      <c r="E1264" s="2" t="s">
        <v>23</v>
      </c>
      <c r="F1264" s="3">
        <f>+5491121683838</f>
        <v>5491121683838</v>
      </c>
      <c r="G1264" s="2" t="s">
        <v>5319</v>
      </c>
      <c r="H1264" s="2" t="s">
        <v>32</v>
      </c>
      <c r="I1264" s="2" t="s">
        <v>25</v>
      </c>
      <c r="J1264" s="2" t="s">
        <v>143</v>
      </c>
      <c r="K1264" s="4">
        <v>46118.0</v>
      </c>
      <c r="L1264" s="2" t="s">
        <v>5320</v>
      </c>
    </row>
    <row r="1265">
      <c r="A1265" s="2" t="s">
        <v>5321</v>
      </c>
      <c r="B1265" s="2" t="s">
        <v>5322</v>
      </c>
      <c r="C1265" s="2" t="s">
        <v>14</v>
      </c>
      <c r="D1265" s="2" t="s">
        <v>15</v>
      </c>
      <c r="E1265" s="2" t="s">
        <v>23</v>
      </c>
      <c r="F1265" s="3">
        <f>+5491138711265</f>
        <v>5491138711265</v>
      </c>
      <c r="G1265" s="2" t="s">
        <v>5323</v>
      </c>
      <c r="H1265" s="2" t="s">
        <v>25</v>
      </c>
      <c r="I1265" s="2" t="s">
        <v>97</v>
      </c>
      <c r="J1265" s="2" t="s">
        <v>697</v>
      </c>
      <c r="K1265" s="4">
        <v>46118.0</v>
      </c>
      <c r="L1265" s="2" t="s">
        <v>5324</v>
      </c>
    </row>
    <row r="1266">
      <c r="A1266" s="2" t="s">
        <v>5325</v>
      </c>
      <c r="B1266" s="2" t="s">
        <v>5326</v>
      </c>
      <c r="C1266" s="2" t="s">
        <v>14</v>
      </c>
      <c r="D1266" s="2" t="s">
        <v>15</v>
      </c>
      <c r="E1266" s="2" t="s">
        <v>23</v>
      </c>
      <c r="F1266" s="3">
        <f>+5491128866487</f>
        <v>5491128866487</v>
      </c>
      <c r="G1266" s="2" t="s">
        <v>5327</v>
      </c>
      <c r="H1266" s="2" t="s">
        <v>25</v>
      </c>
      <c r="I1266" s="2" t="s">
        <v>481</v>
      </c>
      <c r="J1266" s="2" t="s">
        <v>5328</v>
      </c>
      <c r="K1266" s="4">
        <v>46118.0</v>
      </c>
      <c r="L1266" s="2" t="s">
        <v>5329</v>
      </c>
    </row>
    <row r="1267">
      <c r="A1267" s="2" t="s">
        <v>5330</v>
      </c>
      <c r="B1267" s="2" t="s">
        <v>5331</v>
      </c>
      <c r="C1267" s="2" t="s">
        <v>14</v>
      </c>
      <c r="D1267" s="2" t="s">
        <v>15</v>
      </c>
      <c r="E1267" s="2" t="s">
        <v>23</v>
      </c>
      <c r="F1267" s="3">
        <f>+5491127278483</f>
        <v>5491127278483</v>
      </c>
      <c r="G1267" s="2" t="s">
        <v>5332</v>
      </c>
      <c r="H1267" s="2" t="s">
        <v>25</v>
      </c>
      <c r="I1267" s="2" t="s">
        <v>49</v>
      </c>
      <c r="J1267" s="2" t="s">
        <v>2031</v>
      </c>
      <c r="K1267" s="4">
        <v>46118.0</v>
      </c>
      <c r="L1267" s="2" t="s">
        <v>5333</v>
      </c>
    </row>
    <row r="1268">
      <c r="A1268" s="2" t="s">
        <v>5334</v>
      </c>
      <c r="B1268" s="2" t="s">
        <v>5335</v>
      </c>
      <c r="C1268" s="2" t="s">
        <v>14</v>
      </c>
      <c r="D1268" s="2" t="s">
        <v>15</v>
      </c>
      <c r="E1268" s="2" t="s">
        <v>23</v>
      </c>
      <c r="F1268" s="3">
        <f>+5493489599183</f>
        <v>5493489599183</v>
      </c>
      <c r="G1268" s="2" t="s">
        <v>5336</v>
      </c>
      <c r="H1268" s="2" t="s">
        <v>25</v>
      </c>
      <c r="I1268" s="2" t="s">
        <v>1297</v>
      </c>
      <c r="J1268" s="2" t="s">
        <v>1297</v>
      </c>
      <c r="K1268" s="4">
        <v>46118.0</v>
      </c>
      <c r="L1268" s="2" t="s">
        <v>5337</v>
      </c>
    </row>
    <row r="1269">
      <c r="A1269" s="2" t="s">
        <v>5338</v>
      </c>
      <c r="B1269" s="2" t="s">
        <v>5339</v>
      </c>
      <c r="C1269" s="2" t="s">
        <v>14</v>
      </c>
      <c r="D1269" s="2" t="s">
        <v>15</v>
      </c>
      <c r="E1269" s="2" t="s">
        <v>23</v>
      </c>
      <c r="F1269" s="3">
        <f>+5491128439701</f>
        <v>5491128439701</v>
      </c>
      <c r="G1269" s="2" t="s">
        <v>5340</v>
      </c>
      <c r="H1269" s="2" t="s">
        <v>25</v>
      </c>
      <c r="I1269" s="2" t="s">
        <v>314</v>
      </c>
      <c r="J1269" s="2" t="s">
        <v>1075</v>
      </c>
      <c r="K1269" s="4">
        <v>46118.0</v>
      </c>
      <c r="L1269" s="2" t="s">
        <v>5341</v>
      </c>
    </row>
    <row r="1270">
      <c r="A1270" s="2" t="s">
        <v>5342</v>
      </c>
      <c r="B1270" s="2" t="s">
        <v>5343</v>
      </c>
      <c r="C1270" s="2" t="s">
        <v>14</v>
      </c>
      <c r="D1270" s="2" t="s">
        <v>15</v>
      </c>
      <c r="E1270" s="2" t="s">
        <v>23</v>
      </c>
      <c r="F1270" s="3">
        <f>+5491168545373</f>
        <v>5491168545373</v>
      </c>
      <c r="G1270" s="2" t="s">
        <v>5344</v>
      </c>
      <c r="H1270" s="2" t="s">
        <v>32</v>
      </c>
      <c r="I1270" s="2" t="s">
        <v>25</v>
      </c>
      <c r="J1270" s="2" t="s">
        <v>3331</v>
      </c>
      <c r="K1270" s="4">
        <v>46118.0</v>
      </c>
      <c r="L1270" s="2" t="s">
        <v>5345</v>
      </c>
    </row>
    <row r="1271">
      <c r="A1271" s="2" t="s">
        <v>5346</v>
      </c>
      <c r="B1271" s="2" t="s">
        <v>5347</v>
      </c>
      <c r="C1271" s="2" t="s">
        <v>14</v>
      </c>
      <c r="D1271" s="2" t="s">
        <v>15</v>
      </c>
      <c r="E1271" s="2" t="s">
        <v>23</v>
      </c>
      <c r="F1271" s="3">
        <f>+5493816977718</f>
        <v>5493816977718</v>
      </c>
      <c r="G1271" s="2" t="s">
        <v>5348</v>
      </c>
      <c r="H1271" s="2" t="s">
        <v>55</v>
      </c>
      <c r="I1271" s="2" t="s">
        <v>56</v>
      </c>
      <c r="J1271" s="2" t="s">
        <v>56</v>
      </c>
      <c r="K1271" s="4">
        <v>46118.0</v>
      </c>
      <c r="L1271" s="2" t="s">
        <v>5349</v>
      </c>
    </row>
    <row r="1272">
      <c r="A1272" s="2" t="s">
        <v>5350</v>
      </c>
      <c r="B1272" s="2" t="s">
        <v>5351</v>
      </c>
      <c r="C1272" s="2" t="s">
        <v>14</v>
      </c>
      <c r="D1272" s="2" t="s">
        <v>15</v>
      </c>
      <c r="E1272" s="2" t="s">
        <v>23</v>
      </c>
      <c r="F1272" s="3">
        <f>+5491164106442</f>
        <v>5491164106442</v>
      </c>
      <c r="G1272" s="2" t="s">
        <v>5352</v>
      </c>
      <c r="H1272" s="2" t="s">
        <v>32</v>
      </c>
      <c r="I1272" s="2" t="s">
        <v>25</v>
      </c>
      <c r="J1272" s="2" t="s">
        <v>266</v>
      </c>
      <c r="K1272" s="4">
        <v>46118.0</v>
      </c>
      <c r="L1272" s="2" t="s">
        <v>5353</v>
      </c>
    </row>
    <row r="1273">
      <c r="A1273" s="2" t="s">
        <v>5354</v>
      </c>
      <c r="B1273" s="2" t="s">
        <v>5355</v>
      </c>
      <c r="C1273" s="2" t="s">
        <v>185</v>
      </c>
      <c r="D1273" s="2" t="s">
        <v>15</v>
      </c>
      <c r="E1273" s="2" t="s">
        <v>16</v>
      </c>
      <c r="F1273" s="3">
        <f>+542236155531</f>
        <v>542236155531</v>
      </c>
      <c r="G1273" s="2" t="s">
        <v>5356</v>
      </c>
      <c r="H1273" s="2" t="s">
        <v>25</v>
      </c>
      <c r="I1273" s="2" t="s">
        <v>649</v>
      </c>
      <c r="J1273" s="2" t="s">
        <v>5357</v>
      </c>
      <c r="K1273" s="4">
        <v>46118.0</v>
      </c>
      <c r="L1273" s="2" t="s">
        <v>5358</v>
      </c>
    </row>
    <row r="1274">
      <c r="A1274" s="2" t="s">
        <v>5359</v>
      </c>
      <c r="B1274" s="2" t="s">
        <v>5360</v>
      </c>
      <c r="C1274" s="2" t="s">
        <v>14</v>
      </c>
      <c r="D1274" s="2" t="s">
        <v>15</v>
      </c>
      <c r="E1274" s="2" t="s">
        <v>23</v>
      </c>
      <c r="F1274" s="3">
        <f>+5493492414168</f>
        <v>5493492414168</v>
      </c>
      <c r="G1274" s="2" t="s">
        <v>5361</v>
      </c>
      <c r="H1274" s="2" t="s">
        <v>65</v>
      </c>
      <c r="I1274" s="2" t="s">
        <v>218</v>
      </c>
      <c r="J1274" s="2" t="s">
        <v>219</v>
      </c>
      <c r="K1274" s="4">
        <v>46118.0</v>
      </c>
      <c r="L1274" s="2" t="s">
        <v>5362</v>
      </c>
    </row>
    <row r="1275">
      <c r="A1275" s="2" t="s">
        <v>5363</v>
      </c>
      <c r="B1275" s="2" t="s">
        <v>5364</v>
      </c>
      <c r="C1275" s="2" t="s">
        <v>14</v>
      </c>
      <c r="D1275" s="2" t="s">
        <v>15</v>
      </c>
      <c r="E1275" s="2" t="s">
        <v>23</v>
      </c>
      <c r="F1275" s="3">
        <f>+5492612520606</f>
        <v>5492612520606</v>
      </c>
      <c r="G1275" s="2" t="s">
        <v>5365</v>
      </c>
      <c r="H1275" s="2" t="s">
        <v>71</v>
      </c>
      <c r="I1275" s="2" t="s">
        <v>71</v>
      </c>
      <c r="J1275" s="2" t="s">
        <v>917</v>
      </c>
      <c r="K1275" s="4">
        <v>46118.0</v>
      </c>
      <c r="L1275" s="2" t="s">
        <v>5366</v>
      </c>
    </row>
    <row r="1276">
      <c r="A1276" s="2" t="s">
        <v>5367</v>
      </c>
      <c r="B1276" s="2" t="s">
        <v>5368</v>
      </c>
      <c r="C1276" s="2" t="s">
        <v>14</v>
      </c>
      <c r="D1276" s="2" t="s">
        <v>15</v>
      </c>
      <c r="E1276" s="2" t="s">
        <v>23</v>
      </c>
      <c r="F1276" s="3">
        <f>+5491131843647</f>
        <v>5491131843647</v>
      </c>
      <c r="G1276" s="2" t="s">
        <v>5369</v>
      </c>
      <c r="H1276" s="2" t="s">
        <v>25</v>
      </c>
      <c r="I1276" s="2" t="s">
        <v>203</v>
      </c>
      <c r="J1276" s="2" t="s">
        <v>3930</v>
      </c>
      <c r="K1276" s="4">
        <v>46118.0</v>
      </c>
      <c r="L1276" s="2" t="s">
        <v>5370</v>
      </c>
    </row>
    <row r="1277">
      <c r="A1277" s="2" t="s">
        <v>5371</v>
      </c>
      <c r="B1277" s="2" t="s">
        <v>5372</v>
      </c>
      <c r="C1277" s="2" t="s">
        <v>14</v>
      </c>
      <c r="D1277" s="2" t="s">
        <v>15</v>
      </c>
      <c r="E1277" s="2" t="s">
        <v>23</v>
      </c>
      <c r="F1277" s="3">
        <f>+5491124504258</f>
        <v>5491124504258</v>
      </c>
      <c r="G1277" s="2" t="s">
        <v>5373</v>
      </c>
      <c r="H1277" s="2" t="s">
        <v>25</v>
      </c>
      <c r="I1277" s="2" t="s">
        <v>118</v>
      </c>
      <c r="J1277" s="2" t="s">
        <v>381</v>
      </c>
      <c r="K1277" s="4">
        <v>46118.0</v>
      </c>
      <c r="L1277" s="2" t="s">
        <v>5374</v>
      </c>
    </row>
    <row r="1278">
      <c r="A1278" s="2" t="s">
        <v>5375</v>
      </c>
      <c r="B1278" s="2" t="s">
        <v>5376</v>
      </c>
      <c r="C1278" s="2" t="s">
        <v>14</v>
      </c>
      <c r="D1278" s="2" t="s">
        <v>15</v>
      </c>
      <c r="E1278" s="2" t="s">
        <v>23</v>
      </c>
      <c r="F1278" s="3">
        <f>+5491125964726</f>
        <v>5491125964726</v>
      </c>
      <c r="G1278" s="2" t="s">
        <v>5377</v>
      </c>
      <c r="H1278" s="2" t="s">
        <v>32</v>
      </c>
      <c r="I1278" s="2" t="s">
        <v>25</v>
      </c>
      <c r="J1278" s="2" t="s">
        <v>408</v>
      </c>
      <c r="K1278" s="4">
        <v>46118.0</v>
      </c>
      <c r="L1278" s="2" t="s">
        <v>5378</v>
      </c>
    </row>
    <row r="1279">
      <c r="A1279" s="2" t="s">
        <v>5379</v>
      </c>
      <c r="B1279" s="2" t="s">
        <v>5380</v>
      </c>
      <c r="C1279" s="2" t="s">
        <v>14</v>
      </c>
      <c r="D1279" s="2" t="s">
        <v>15</v>
      </c>
      <c r="E1279" s="2" t="s">
        <v>23</v>
      </c>
      <c r="F1279" s="3">
        <f>+5493541275378</f>
        <v>5493541275378</v>
      </c>
      <c r="G1279" s="2" t="s">
        <v>5381</v>
      </c>
      <c r="H1279" s="2" t="s">
        <v>18</v>
      </c>
      <c r="I1279" s="2" t="s">
        <v>535</v>
      </c>
      <c r="J1279" s="2" t="s">
        <v>635</v>
      </c>
      <c r="K1279" s="4">
        <v>46118.0</v>
      </c>
      <c r="L1279" s="2" t="s">
        <v>5382</v>
      </c>
    </row>
    <row r="1280">
      <c r="A1280" s="2" t="s">
        <v>5383</v>
      </c>
      <c r="B1280" s="2" t="s">
        <v>5384</v>
      </c>
      <c r="C1280" s="2" t="s">
        <v>14</v>
      </c>
      <c r="D1280" s="2" t="s">
        <v>15</v>
      </c>
      <c r="E1280" s="2" t="s">
        <v>23</v>
      </c>
      <c r="F1280" s="3">
        <f>+5491178286837</f>
        <v>5491178286837</v>
      </c>
      <c r="G1280" s="2" t="s">
        <v>5385</v>
      </c>
      <c r="H1280" s="2" t="s">
        <v>25</v>
      </c>
      <c r="I1280" s="2" t="s">
        <v>309</v>
      </c>
      <c r="J1280" s="2" t="s">
        <v>1449</v>
      </c>
      <c r="K1280" s="4">
        <v>46118.0</v>
      </c>
      <c r="L1280" s="2" t="s">
        <v>5386</v>
      </c>
    </row>
    <row r="1281">
      <c r="A1281" s="2" t="s">
        <v>5387</v>
      </c>
      <c r="B1281" s="2" t="s">
        <v>5388</v>
      </c>
      <c r="C1281" s="2" t="s">
        <v>14</v>
      </c>
      <c r="D1281" s="2" t="s">
        <v>15</v>
      </c>
      <c r="E1281" s="2" t="s">
        <v>23</v>
      </c>
      <c r="F1281" s="3">
        <f>+5491162576250</f>
        <v>5491162576250</v>
      </c>
      <c r="G1281" s="2" t="s">
        <v>5389</v>
      </c>
      <c r="H1281" s="2" t="s">
        <v>25</v>
      </c>
      <c r="I1281" s="2" t="s">
        <v>236</v>
      </c>
      <c r="J1281" s="2" t="s">
        <v>236</v>
      </c>
      <c r="K1281" s="4">
        <v>46118.0</v>
      </c>
      <c r="L1281" s="2" t="s">
        <v>5390</v>
      </c>
    </row>
    <row r="1282">
      <c r="A1282" s="2" t="s">
        <v>5391</v>
      </c>
      <c r="B1282" s="2" t="s">
        <v>5392</v>
      </c>
      <c r="C1282" s="2" t="s">
        <v>14</v>
      </c>
      <c r="D1282" s="2" t="s">
        <v>15</v>
      </c>
      <c r="E1282" s="2" t="s">
        <v>23</v>
      </c>
      <c r="F1282" s="3">
        <f>+54902616300157</f>
        <v>54902616300157</v>
      </c>
      <c r="G1282" s="2" t="s">
        <v>5393</v>
      </c>
      <c r="H1282" s="2" t="s">
        <v>71</v>
      </c>
      <c r="I1282" s="2" t="s">
        <v>1156</v>
      </c>
      <c r="J1282" s="2" t="s">
        <v>1156</v>
      </c>
      <c r="K1282" s="4">
        <v>46100.0</v>
      </c>
      <c r="L1282" s="2" t="s">
        <v>5394</v>
      </c>
    </row>
    <row r="1283">
      <c r="A1283" s="2" t="s">
        <v>5395</v>
      </c>
      <c r="B1283" s="2" t="s">
        <v>5396</v>
      </c>
      <c r="C1283" s="2" t="s">
        <v>14</v>
      </c>
      <c r="D1283" s="2" t="s">
        <v>15</v>
      </c>
      <c r="E1283" s="2" t="s">
        <v>23</v>
      </c>
      <c r="F1283" s="3">
        <f>+5493412578934</f>
        <v>5493412578934</v>
      </c>
      <c r="G1283" s="2" t="s">
        <v>5397</v>
      </c>
      <c r="H1283" s="2" t="s">
        <v>65</v>
      </c>
      <c r="I1283" s="2" t="s">
        <v>218</v>
      </c>
      <c r="J1283" s="2" t="s">
        <v>2672</v>
      </c>
      <c r="K1283" s="4">
        <v>46087.0</v>
      </c>
      <c r="L1283" s="2" t="s">
        <v>5398</v>
      </c>
    </row>
    <row r="1284">
      <c r="A1284" s="2" t="s">
        <v>5399</v>
      </c>
      <c r="B1284" s="2" t="s">
        <v>5400</v>
      </c>
      <c r="C1284" s="2" t="s">
        <v>14</v>
      </c>
      <c r="D1284" s="2" t="s">
        <v>15</v>
      </c>
      <c r="E1284" s="2" t="s">
        <v>23</v>
      </c>
      <c r="F1284" s="3">
        <f>+5491166172524</f>
        <v>5491166172524</v>
      </c>
      <c r="G1284" s="2" t="s">
        <v>5401</v>
      </c>
      <c r="H1284" s="2" t="s">
        <v>25</v>
      </c>
      <c r="I1284" s="2" t="s">
        <v>357</v>
      </c>
      <c r="J1284" s="2" t="s">
        <v>357</v>
      </c>
      <c r="K1284" s="4">
        <v>45639.0</v>
      </c>
      <c r="L1284" s="2" t="s">
        <v>5402</v>
      </c>
    </row>
    <row r="1285">
      <c r="A1285" s="2" t="s">
        <v>5403</v>
      </c>
      <c r="B1285" s="2" t="s">
        <v>5404</v>
      </c>
      <c r="C1285" s="2" t="s">
        <v>14</v>
      </c>
      <c r="D1285" s="2" t="s">
        <v>15</v>
      </c>
      <c r="E1285" s="2" t="s">
        <v>23</v>
      </c>
      <c r="F1285" s="3">
        <f>+5493416104555</f>
        <v>5493416104555</v>
      </c>
      <c r="G1285" s="2" t="s">
        <v>5405</v>
      </c>
      <c r="H1285" s="2" t="s">
        <v>65</v>
      </c>
      <c r="I1285" s="2" t="s">
        <v>218</v>
      </c>
      <c r="J1285" s="2" t="s">
        <v>1532</v>
      </c>
      <c r="K1285" s="4">
        <v>43951.0</v>
      </c>
      <c r="L1285" s="2" t="s">
        <v>5406</v>
      </c>
    </row>
    <row r="1286">
      <c r="A1286" s="2" t="s">
        <v>5407</v>
      </c>
      <c r="B1286" s="2" t="s">
        <v>5408</v>
      </c>
      <c r="C1286" s="2" t="s">
        <v>14</v>
      </c>
      <c r="D1286" s="2" t="s">
        <v>15</v>
      </c>
      <c r="E1286" s="2" t="s">
        <v>23</v>
      </c>
      <c r="F1286" s="3">
        <f>+5491126501614</f>
        <v>5491126501614</v>
      </c>
      <c r="G1286" s="2" t="s">
        <v>5409</v>
      </c>
      <c r="H1286" s="2" t="s">
        <v>25</v>
      </c>
      <c r="I1286" s="2" t="s">
        <v>78</v>
      </c>
      <c r="J1286" s="2" t="s">
        <v>2251</v>
      </c>
      <c r="K1286" s="4">
        <v>43924.0</v>
      </c>
      <c r="L1286" s="2" t="s">
        <v>5410</v>
      </c>
    </row>
    <row r="1287">
      <c r="A1287" s="2" t="s">
        <v>5411</v>
      </c>
      <c r="B1287" s="2" t="s">
        <v>5412</v>
      </c>
      <c r="C1287" s="2" t="s">
        <v>14</v>
      </c>
      <c r="D1287" s="2" t="s">
        <v>15</v>
      </c>
      <c r="E1287" s="2" t="s">
        <v>23</v>
      </c>
      <c r="F1287" s="3">
        <f>+5493543588892</f>
        <v>5493543588892</v>
      </c>
      <c r="G1287" s="2" t="s">
        <v>5413</v>
      </c>
      <c r="H1287" s="2" t="s">
        <v>18</v>
      </c>
      <c r="I1287" s="2" t="s">
        <v>18</v>
      </c>
      <c r="J1287" s="2" t="s">
        <v>1228</v>
      </c>
      <c r="K1287" s="4">
        <v>43670.0</v>
      </c>
      <c r="L1287" s="2" t="s">
        <v>5414</v>
      </c>
    </row>
    <row r="1288">
      <c r="A1288" s="2" t="s">
        <v>5415</v>
      </c>
      <c r="B1288" s="2" t="s">
        <v>5416</v>
      </c>
      <c r="C1288" s="2" t="s">
        <v>14</v>
      </c>
      <c r="D1288" s="2" t="s">
        <v>15</v>
      </c>
      <c r="E1288" s="2" t="s">
        <v>23</v>
      </c>
      <c r="F1288" s="3">
        <f>+5491131112130</f>
        <v>5491131112130</v>
      </c>
      <c r="G1288" s="2" t="s">
        <v>5417</v>
      </c>
      <c r="H1288" s="2" t="s">
        <v>32</v>
      </c>
      <c r="I1288" s="2" t="s">
        <v>25</v>
      </c>
      <c r="J1288" s="2" t="s">
        <v>594</v>
      </c>
      <c r="K1288" s="4">
        <v>43616.0</v>
      </c>
      <c r="L1288" s="2" t="s">
        <v>5418</v>
      </c>
    </row>
    <row r="1289">
      <c r="A1289" s="2" t="s">
        <v>5419</v>
      </c>
      <c r="B1289" s="2" t="s">
        <v>5420</v>
      </c>
      <c r="C1289" s="2" t="s">
        <v>14</v>
      </c>
      <c r="D1289" s="2" t="s">
        <v>15</v>
      </c>
      <c r="E1289" s="2" t="s">
        <v>16</v>
      </c>
      <c r="F1289" s="3">
        <f>+541169129693</f>
        <v>541169129693</v>
      </c>
      <c r="G1289" s="2" t="s">
        <v>5421</v>
      </c>
      <c r="H1289" s="2" t="s">
        <v>25</v>
      </c>
      <c r="I1289" s="2" t="s">
        <v>550</v>
      </c>
      <c r="J1289" s="2" t="s">
        <v>550</v>
      </c>
      <c r="K1289" s="4">
        <v>43572.0</v>
      </c>
      <c r="L1289" s="2" t="s">
        <v>5422</v>
      </c>
    </row>
    <row r="1290">
      <c r="A1290" s="2" t="s">
        <v>5423</v>
      </c>
      <c r="B1290" s="2" t="s">
        <v>5424</v>
      </c>
      <c r="C1290" s="2" t="s">
        <v>14</v>
      </c>
      <c r="D1290" s="2" t="s">
        <v>15</v>
      </c>
      <c r="E1290" s="2" t="s">
        <v>23</v>
      </c>
      <c r="F1290" s="3">
        <f>+5491168263028</f>
        <v>5491168263028</v>
      </c>
      <c r="G1290" s="2" t="s">
        <v>5425</v>
      </c>
      <c r="H1290" s="2" t="s">
        <v>32</v>
      </c>
      <c r="I1290" s="2" t="s">
        <v>25</v>
      </c>
      <c r="J1290" s="2" t="s">
        <v>611</v>
      </c>
      <c r="K1290" s="4">
        <v>43122.0</v>
      </c>
      <c r="L1290" s="2" t="s">
        <v>5426</v>
      </c>
    </row>
    <row r="1291">
      <c r="A1291" s="2" t="s">
        <v>5427</v>
      </c>
      <c r="B1291" s="2" t="s">
        <v>5428</v>
      </c>
      <c r="C1291" s="2" t="s">
        <v>14</v>
      </c>
      <c r="D1291" s="2" t="s">
        <v>15</v>
      </c>
      <c r="E1291" s="2" t="s">
        <v>23</v>
      </c>
      <c r="F1291" s="3">
        <f>+541120840096</f>
        <v>541120840096</v>
      </c>
      <c r="G1291" s="2" t="s">
        <v>5429</v>
      </c>
      <c r="H1291" s="2" t="s">
        <v>32</v>
      </c>
      <c r="I1291" s="2" t="s">
        <v>25</v>
      </c>
      <c r="J1291" s="2" t="s">
        <v>948</v>
      </c>
      <c r="K1291" s="4">
        <v>42877.0</v>
      </c>
      <c r="L1291" s="2" t="s">
        <v>5430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5431</v>
      </c>
      <c r="B2" s="2" t="s">
        <v>5432</v>
      </c>
      <c r="C2" s="2" t="s">
        <v>14</v>
      </c>
      <c r="D2" s="2" t="s">
        <v>15</v>
      </c>
      <c r="E2" s="2" t="s">
        <v>23</v>
      </c>
      <c r="F2" s="2">
        <v>5.493816735866E12</v>
      </c>
      <c r="G2" s="2" t="s">
        <v>5433</v>
      </c>
      <c r="H2" s="2" t="s">
        <v>55</v>
      </c>
      <c r="I2" s="2" t="s">
        <v>883</v>
      </c>
      <c r="J2" s="2" t="s">
        <v>5434</v>
      </c>
      <c r="K2" s="5">
        <v>43768.0</v>
      </c>
      <c r="L2" s="2" t="s">
        <v>5435</v>
      </c>
    </row>
    <row r="3">
      <c r="A3" s="2" t="s">
        <v>5436</v>
      </c>
      <c r="B3" s="2" t="s">
        <v>5437</v>
      </c>
      <c r="C3" s="2" t="s">
        <v>14</v>
      </c>
      <c r="D3" s="2" t="s">
        <v>15</v>
      </c>
      <c r="E3" s="2" t="s">
        <v>23</v>
      </c>
      <c r="F3" s="2">
        <v>5.492914736336E12</v>
      </c>
      <c r="G3" s="2" t="s">
        <v>5438</v>
      </c>
      <c r="H3" s="2" t="s">
        <v>55</v>
      </c>
      <c r="I3" s="2" t="s">
        <v>883</v>
      </c>
      <c r="J3" s="2" t="s">
        <v>1484</v>
      </c>
      <c r="K3" s="5">
        <v>44132.0</v>
      </c>
      <c r="L3" s="2" t="s">
        <v>5439</v>
      </c>
    </row>
    <row r="4">
      <c r="A4" s="2" t="s">
        <v>5440</v>
      </c>
      <c r="B4" s="2" t="s">
        <v>5441</v>
      </c>
      <c r="C4" s="2" t="s">
        <v>14</v>
      </c>
      <c r="D4" s="2" t="s">
        <v>15</v>
      </c>
      <c r="E4" s="2" t="s">
        <v>23</v>
      </c>
      <c r="F4" s="2">
        <v>5.493884122637E12</v>
      </c>
      <c r="G4" s="2" t="s">
        <v>5442</v>
      </c>
      <c r="H4" s="2" t="s">
        <v>55</v>
      </c>
      <c r="I4" s="2" t="s">
        <v>883</v>
      </c>
      <c r="J4" s="2" t="s">
        <v>1484</v>
      </c>
      <c r="K4" s="6">
        <v>42803.0</v>
      </c>
      <c r="L4" s="2" t="s">
        <v>5443</v>
      </c>
    </row>
    <row r="5">
      <c r="A5" s="2" t="s">
        <v>5444</v>
      </c>
      <c r="B5" s="2" t="s">
        <v>5445</v>
      </c>
      <c r="C5" s="2" t="s">
        <v>185</v>
      </c>
      <c r="D5" s="2" t="s">
        <v>15</v>
      </c>
      <c r="E5" s="2" t="s">
        <v>23</v>
      </c>
      <c r="F5" s="2">
        <v>5.43814745101E11</v>
      </c>
      <c r="G5" s="2" t="s">
        <v>5446</v>
      </c>
      <c r="H5" s="2" t="s">
        <v>55</v>
      </c>
      <c r="I5" s="2" t="s">
        <v>883</v>
      </c>
      <c r="J5" s="2" t="s">
        <v>611</v>
      </c>
      <c r="K5" s="6">
        <v>44641.0</v>
      </c>
      <c r="L5" s="2" t="s">
        <v>5447</v>
      </c>
    </row>
    <row r="6">
      <c r="A6" s="2" t="s">
        <v>5448</v>
      </c>
      <c r="B6" s="2" t="s">
        <v>5449</v>
      </c>
      <c r="C6" s="2" t="s">
        <v>185</v>
      </c>
      <c r="D6" s="2" t="s">
        <v>15</v>
      </c>
      <c r="E6" s="2" t="s">
        <v>16</v>
      </c>
      <c r="F6" s="2">
        <v>5.491152596396E12</v>
      </c>
      <c r="G6" s="2" t="s">
        <v>5450</v>
      </c>
      <c r="H6" s="2" t="s">
        <v>55</v>
      </c>
      <c r="I6" s="2" t="s">
        <v>883</v>
      </c>
      <c r="J6" s="2" t="s">
        <v>1037</v>
      </c>
      <c r="K6" s="6">
        <v>44726.0</v>
      </c>
      <c r="L6" s="2" t="s">
        <v>5451</v>
      </c>
    </row>
    <row r="7">
      <c r="A7" s="2" t="s">
        <v>5452</v>
      </c>
      <c r="B7" s="2" t="s">
        <v>5453</v>
      </c>
      <c r="C7" s="2" t="s">
        <v>14</v>
      </c>
      <c r="D7" s="2" t="s">
        <v>15</v>
      </c>
      <c r="E7" s="2" t="s">
        <v>23</v>
      </c>
      <c r="F7" s="2">
        <v>5.493815367591E12</v>
      </c>
      <c r="G7" s="2" t="s">
        <v>5454</v>
      </c>
      <c r="H7" s="2" t="s">
        <v>55</v>
      </c>
      <c r="I7" s="2" t="s">
        <v>883</v>
      </c>
      <c r="J7" s="2" t="s">
        <v>1484</v>
      </c>
      <c r="K7" s="6">
        <v>44771.0</v>
      </c>
      <c r="L7" s="2" t="s">
        <v>5455</v>
      </c>
    </row>
    <row r="8">
      <c r="A8" s="2" t="s">
        <v>5456</v>
      </c>
      <c r="B8" s="2" t="s">
        <v>5457</v>
      </c>
      <c r="C8" s="2" t="s">
        <v>14</v>
      </c>
      <c r="D8" s="2" t="s">
        <v>15</v>
      </c>
      <c r="E8" s="2" t="s">
        <v>23</v>
      </c>
      <c r="F8" s="2">
        <v>5.493814094843E12</v>
      </c>
      <c r="G8" s="2" t="s">
        <v>5458</v>
      </c>
      <c r="H8" s="2" t="s">
        <v>55</v>
      </c>
      <c r="I8" s="2" t="s">
        <v>883</v>
      </c>
      <c r="J8" s="2" t="s">
        <v>1864</v>
      </c>
      <c r="K8" s="6">
        <v>44777.0</v>
      </c>
      <c r="L8" s="2" t="s">
        <v>5459</v>
      </c>
    </row>
    <row r="9">
      <c r="A9" s="2" t="s">
        <v>5460</v>
      </c>
      <c r="B9" s="2" t="s">
        <v>5461</v>
      </c>
      <c r="C9" s="2" t="s">
        <v>831</v>
      </c>
      <c r="D9" s="2" t="s">
        <v>15</v>
      </c>
      <c r="E9" s="2" t="s">
        <v>16</v>
      </c>
      <c r="F9" s="2">
        <v>5.493816421645E12</v>
      </c>
      <c r="G9" s="2" t="s">
        <v>5462</v>
      </c>
      <c r="H9" s="2" t="s">
        <v>55</v>
      </c>
      <c r="I9" s="2" t="s">
        <v>56</v>
      </c>
      <c r="J9" s="2" t="s">
        <v>56</v>
      </c>
      <c r="K9" s="6">
        <v>44804.0</v>
      </c>
      <c r="L9" s="2" t="s">
        <v>5463</v>
      </c>
    </row>
    <row r="10">
      <c r="A10" s="2" t="s">
        <v>5464</v>
      </c>
      <c r="B10" s="2" t="s">
        <v>5465</v>
      </c>
      <c r="C10" s="2" t="s">
        <v>14</v>
      </c>
      <c r="D10" s="2" t="s">
        <v>15</v>
      </c>
      <c r="E10" s="2" t="s">
        <v>16</v>
      </c>
      <c r="F10" s="2">
        <v>5.493816425521E12</v>
      </c>
      <c r="G10" s="2" t="s">
        <v>5466</v>
      </c>
      <c r="H10" s="2" t="s">
        <v>55</v>
      </c>
      <c r="I10" s="2" t="s">
        <v>883</v>
      </c>
      <c r="J10" s="2" t="s">
        <v>3840</v>
      </c>
      <c r="K10" s="6">
        <v>44812.0</v>
      </c>
      <c r="L10" s="2" t="s">
        <v>5467</v>
      </c>
    </row>
    <row r="11">
      <c r="A11" s="2" t="s">
        <v>5468</v>
      </c>
      <c r="B11" s="2" t="s">
        <v>5469</v>
      </c>
      <c r="C11" s="2" t="s">
        <v>14</v>
      </c>
      <c r="D11" s="2" t="s">
        <v>15</v>
      </c>
      <c r="E11" s="2" t="s">
        <v>16</v>
      </c>
      <c r="F11" s="2">
        <v>5.493816425521E12</v>
      </c>
      <c r="G11" s="2" t="s">
        <v>5470</v>
      </c>
      <c r="H11" s="2" t="s">
        <v>55</v>
      </c>
      <c r="I11" s="2" t="s">
        <v>883</v>
      </c>
      <c r="J11" s="2" t="s">
        <v>1579</v>
      </c>
      <c r="K11" s="6">
        <v>44823.0</v>
      </c>
      <c r="L11" s="2" t="s">
        <v>5471</v>
      </c>
    </row>
    <row r="12">
      <c r="A12" s="2" t="s">
        <v>5472</v>
      </c>
      <c r="B12" s="2" t="s">
        <v>5473</v>
      </c>
      <c r="C12" s="2" t="s">
        <v>14</v>
      </c>
      <c r="D12" s="2" t="s">
        <v>15</v>
      </c>
      <c r="E12" s="2" t="s">
        <v>16</v>
      </c>
      <c r="F12" s="2">
        <v>5.493815777658E12</v>
      </c>
      <c r="G12" s="2" t="s">
        <v>5474</v>
      </c>
      <c r="H12" s="2" t="s">
        <v>55</v>
      </c>
      <c r="I12" s="2" t="s">
        <v>56</v>
      </c>
      <c r="J12" s="2" t="s">
        <v>56</v>
      </c>
      <c r="K12" s="5">
        <v>44839.0</v>
      </c>
      <c r="L12" s="2" t="s">
        <v>5475</v>
      </c>
    </row>
    <row r="13">
      <c r="A13" s="2" t="s">
        <v>5476</v>
      </c>
      <c r="B13" s="2" t="s">
        <v>5477</v>
      </c>
      <c r="C13" s="2" t="s">
        <v>533</v>
      </c>
      <c r="D13" s="2" t="s">
        <v>15</v>
      </c>
      <c r="E13" s="2" t="s">
        <v>16</v>
      </c>
      <c r="F13" s="2">
        <v>5.493814746234E12</v>
      </c>
      <c r="G13" s="2" t="s">
        <v>5478</v>
      </c>
      <c r="H13" s="2" t="s">
        <v>55</v>
      </c>
      <c r="I13" s="2" t="s">
        <v>56</v>
      </c>
      <c r="J13" s="2" t="s">
        <v>56</v>
      </c>
      <c r="K13" s="6">
        <v>44963.0</v>
      </c>
      <c r="L13" s="2" t="s">
        <v>5479</v>
      </c>
    </row>
    <row r="14">
      <c r="A14" s="2" t="s">
        <v>5480</v>
      </c>
      <c r="B14" s="2" t="s">
        <v>5481</v>
      </c>
      <c r="C14" s="2" t="s">
        <v>14</v>
      </c>
      <c r="D14" s="2" t="s">
        <v>15</v>
      </c>
      <c r="E14" s="2" t="s">
        <v>16</v>
      </c>
      <c r="F14" s="2">
        <v>5.43813019472E11</v>
      </c>
      <c r="G14" s="2" t="s">
        <v>5482</v>
      </c>
      <c r="H14" s="2" t="s">
        <v>55</v>
      </c>
      <c r="I14" s="2" t="s">
        <v>883</v>
      </c>
      <c r="J14" s="2" t="s">
        <v>611</v>
      </c>
      <c r="K14" s="6">
        <v>44959.0</v>
      </c>
      <c r="L14" s="2" t="s">
        <v>5483</v>
      </c>
    </row>
    <row r="15">
      <c r="A15" s="2" t="s">
        <v>5484</v>
      </c>
      <c r="B15" s="2" t="s">
        <v>5485</v>
      </c>
      <c r="C15" s="2" t="s">
        <v>14</v>
      </c>
      <c r="D15" s="2" t="s">
        <v>15</v>
      </c>
      <c r="E15" s="2" t="s">
        <v>23</v>
      </c>
      <c r="F15" s="2">
        <v>5.49381626167E12</v>
      </c>
      <c r="G15" s="2" t="s">
        <v>5486</v>
      </c>
      <c r="H15" s="2" t="s">
        <v>55</v>
      </c>
      <c r="I15" s="2" t="s">
        <v>56</v>
      </c>
      <c r="J15" s="2" t="s">
        <v>56</v>
      </c>
      <c r="K15" s="6">
        <v>44959.0</v>
      </c>
      <c r="L15" s="2" t="s">
        <v>5487</v>
      </c>
    </row>
    <row r="16">
      <c r="A16" s="2" t="s">
        <v>5488</v>
      </c>
      <c r="B16" s="2" t="s">
        <v>5489</v>
      </c>
      <c r="C16" s="2" t="s">
        <v>14</v>
      </c>
      <c r="D16" s="2" t="s">
        <v>15</v>
      </c>
      <c r="E16" s="2" t="s">
        <v>23</v>
      </c>
      <c r="F16" s="2">
        <v>5.493814184144E12</v>
      </c>
      <c r="G16" s="2" t="s">
        <v>5490</v>
      </c>
      <c r="H16" s="2" t="s">
        <v>55</v>
      </c>
      <c r="I16" s="2" t="s">
        <v>883</v>
      </c>
      <c r="J16" s="2" t="s">
        <v>2400</v>
      </c>
      <c r="K16" s="6">
        <v>44945.0</v>
      </c>
      <c r="L16" s="2" t="s">
        <v>5491</v>
      </c>
    </row>
    <row r="17">
      <c r="A17" s="2" t="s">
        <v>5492</v>
      </c>
      <c r="B17" s="2" t="s">
        <v>5493</v>
      </c>
      <c r="C17" s="2" t="s">
        <v>14</v>
      </c>
      <c r="D17" s="2" t="s">
        <v>15</v>
      </c>
      <c r="E17" s="2" t="s">
        <v>16</v>
      </c>
      <c r="F17" s="2">
        <v>5.493815192614E12</v>
      </c>
      <c r="G17" s="2" t="s">
        <v>5494</v>
      </c>
      <c r="H17" s="2" t="s">
        <v>55</v>
      </c>
      <c r="I17" s="2" t="s">
        <v>883</v>
      </c>
      <c r="J17" s="2" t="s">
        <v>5495</v>
      </c>
      <c r="K17" s="6">
        <v>44967.0</v>
      </c>
      <c r="L17" s="2" t="s">
        <v>5496</v>
      </c>
    </row>
    <row r="18">
      <c r="A18" s="2" t="s">
        <v>5497</v>
      </c>
      <c r="B18" s="2" t="s">
        <v>5498</v>
      </c>
      <c r="C18" s="2" t="s">
        <v>14</v>
      </c>
      <c r="D18" s="2" t="s">
        <v>15</v>
      </c>
      <c r="E18" s="2" t="s">
        <v>16</v>
      </c>
      <c r="F18" s="2">
        <v>5.493816111487E12</v>
      </c>
      <c r="G18" s="2" t="s">
        <v>5499</v>
      </c>
      <c r="H18" s="2" t="s">
        <v>55</v>
      </c>
      <c r="I18" s="2" t="s">
        <v>56</v>
      </c>
      <c r="J18" s="2" t="s">
        <v>56</v>
      </c>
      <c r="K18" s="6">
        <v>44984.0</v>
      </c>
      <c r="L18" s="2" t="s">
        <v>5500</v>
      </c>
    </row>
    <row r="19">
      <c r="A19" s="2" t="s">
        <v>5501</v>
      </c>
      <c r="B19" s="2" t="s">
        <v>5502</v>
      </c>
      <c r="C19" s="2" t="s">
        <v>14</v>
      </c>
      <c r="D19" s="2" t="s">
        <v>15</v>
      </c>
      <c r="E19" s="2" t="s">
        <v>16</v>
      </c>
      <c r="F19" s="2">
        <v>5.493816111487E12</v>
      </c>
      <c r="G19" s="2" t="s">
        <v>5503</v>
      </c>
      <c r="H19" s="2" t="s">
        <v>55</v>
      </c>
      <c r="I19" s="2" t="s">
        <v>883</v>
      </c>
      <c r="J19" s="2" t="s">
        <v>2400</v>
      </c>
      <c r="K19" s="6">
        <v>44984.0</v>
      </c>
      <c r="L19" s="2" t="s">
        <v>5504</v>
      </c>
    </row>
    <row r="20">
      <c r="A20" s="2" t="s">
        <v>5505</v>
      </c>
      <c r="B20" s="2" t="s">
        <v>5506</v>
      </c>
      <c r="C20" s="2" t="s">
        <v>14</v>
      </c>
      <c r="D20" s="2" t="s">
        <v>15</v>
      </c>
      <c r="E20" s="2" t="s">
        <v>23</v>
      </c>
      <c r="F20" s="2">
        <v>5.493815753496E12</v>
      </c>
      <c r="G20" s="2" t="s">
        <v>5507</v>
      </c>
      <c r="H20" s="2" t="s">
        <v>55</v>
      </c>
      <c r="I20" s="2" t="s">
        <v>883</v>
      </c>
      <c r="J20" s="2" t="s">
        <v>611</v>
      </c>
      <c r="K20" s="6">
        <v>44974.0</v>
      </c>
      <c r="L20" s="2" t="s">
        <v>5508</v>
      </c>
    </row>
    <row r="21">
      <c r="A21" s="2" t="s">
        <v>5509</v>
      </c>
      <c r="B21" s="2" t="s">
        <v>5510</v>
      </c>
      <c r="C21" s="2" t="s">
        <v>14</v>
      </c>
      <c r="D21" s="2" t="s">
        <v>15</v>
      </c>
      <c r="E21" s="2" t="s">
        <v>23</v>
      </c>
      <c r="F21" s="2">
        <v>5.493812134899E12</v>
      </c>
      <c r="G21" s="2" t="s">
        <v>5511</v>
      </c>
      <c r="H21" s="2" t="s">
        <v>55</v>
      </c>
      <c r="I21" s="2" t="s">
        <v>883</v>
      </c>
      <c r="J21" s="2" t="s">
        <v>5512</v>
      </c>
      <c r="K21" s="6">
        <v>44971.0</v>
      </c>
      <c r="L21" s="2" t="s">
        <v>5513</v>
      </c>
    </row>
    <row r="22">
      <c r="A22" s="2" t="s">
        <v>5514</v>
      </c>
      <c r="B22" s="2" t="s">
        <v>5515</v>
      </c>
      <c r="C22" s="2" t="s">
        <v>493</v>
      </c>
      <c r="D22" s="2" t="s">
        <v>15</v>
      </c>
      <c r="E22" s="2" t="s">
        <v>16</v>
      </c>
      <c r="F22" s="2">
        <v>5.491144713442E12</v>
      </c>
      <c r="G22" s="2" t="s">
        <v>5516</v>
      </c>
      <c r="H22" s="2" t="s">
        <v>55</v>
      </c>
      <c r="I22" s="2" t="s">
        <v>883</v>
      </c>
      <c r="J22" s="2" t="s">
        <v>688</v>
      </c>
      <c r="K22" s="6">
        <v>44998.0</v>
      </c>
      <c r="L22" s="2" t="s">
        <v>5517</v>
      </c>
    </row>
    <row r="23">
      <c r="A23" s="2" t="s">
        <v>5518</v>
      </c>
      <c r="B23" s="2" t="s">
        <v>5519</v>
      </c>
      <c r="C23" s="2" t="s">
        <v>14</v>
      </c>
      <c r="D23" s="2" t="s">
        <v>15</v>
      </c>
      <c r="E23" s="2" t="s">
        <v>23</v>
      </c>
      <c r="F23" s="2">
        <v>5.493814028248E12</v>
      </c>
      <c r="G23" s="2" t="s">
        <v>5520</v>
      </c>
      <c r="H23" s="2" t="s">
        <v>55</v>
      </c>
      <c r="I23" s="2" t="s">
        <v>56</v>
      </c>
      <c r="J23" s="2" t="s">
        <v>56</v>
      </c>
      <c r="K23" s="6">
        <v>45015.0</v>
      </c>
      <c r="L23" s="2" t="s">
        <v>5521</v>
      </c>
    </row>
    <row r="24">
      <c r="A24" s="2" t="s">
        <v>5522</v>
      </c>
      <c r="B24" s="2" t="s">
        <v>5523</v>
      </c>
      <c r="C24" s="2" t="s">
        <v>14</v>
      </c>
      <c r="D24" s="2" t="s">
        <v>15</v>
      </c>
      <c r="E24" s="2" t="s">
        <v>23</v>
      </c>
      <c r="F24" s="2">
        <v>5.493814386383E12</v>
      </c>
      <c r="G24" s="2" t="s">
        <v>5524</v>
      </c>
      <c r="H24" s="2" t="s">
        <v>55</v>
      </c>
      <c r="I24" s="2" t="s">
        <v>56</v>
      </c>
      <c r="J24" s="2" t="s">
        <v>56</v>
      </c>
      <c r="K24" s="6">
        <v>45015.0</v>
      </c>
      <c r="L24" s="2" t="s">
        <v>5525</v>
      </c>
    </row>
    <row r="25">
      <c r="A25" s="2" t="s">
        <v>5526</v>
      </c>
      <c r="B25" s="2" t="s">
        <v>5527</v>
      </c>
      <c r="C25" s="2" t="s">
        <v>14</v>
      </c>
      <c r="D25" s="2" t="s">
        <v>15</v>
      </c>
      <c r="E25" s="2" t="s">
        <v>23</v>
      </c>
      <c r="F25" s="2">
        <v>5.493814028248E12</v>
      </c>
      <c r="G25" s="2" t="s">
        <v>5528</v>
      </c>
      <c r="H25" s="2" t="s">
        <v>55</v>
      </c>
      <c r="I25" s="2" t="s">
        <v>883</v>
      </c>
      <c r="J25" s="2" t="s">
        <v>3441</v>
      </c>
      <c r="K25" s="6">
        <v>45014.0</v>
      </c>
      <c r="L25" s="2" t="s">
        <v>5529</v>
      </c>
    </row>
    <row r="26">
      <c r="A26" s="2" t="s">
        <v>5530</v>
      </c>
      <c r="B26" s="2" t="s">
        <v>5531</v>
      </c>
      <c r="C26" s="2" t="s">
        <v>14</v>
      </c>
      <c r="D26" s="2" t="s">
        <v>15</v>
      </c>
      <c r="E26" s="2" t="s">
        <v>23</v>
      </c>
      <c r="F26" s="2">
        <v>5.493816988049E12</v>
      </c>
      <c r="G26" s="2" t="s">
        <v>5532</v>
      </c>
      <c r="H26" s="2" t="s">
        <v>55</v>
      </c>
      <c r="I26" s="2" t="s">
        <v>883</v>
      </c>
      <c r="J26" s="2" t="s">
        <v>1037</v>
      </c>
      <c r="K26" s="6">
        <v>45014.0</v>
      </c>
      <c r="L26" s="2" t="s">
        <v>5533</v>
      </c>
    </row>
    <row r="27">
      <c r="A27" s="2" t="s">
        <v>5534</v>
      </c>
      <c r="B27" s="2" t="s">
        <v>5535</v>
      </c>
      <c r="C27" s="2" t="s">
        <v>185</v>
      </c>
      <c r="D27" s="2" t="s">
        <v>15</v>
      </c>
      <c r="E27" s="2" t="s">
        <v>23</v>
      </c>
      <c r="F27" s="2">
        <v>5.493814011478E12</v>
      </c>
      <c r="G27" s="2" t="s">
        <v>5536</v>
      </c>
      <c r="H27" s="2" t="s">
        <v>55</v>
      </c>
      <c r="I27" s="2" t="s">
        <v>56</v>
      </c>
      <c r="J27" s="2" t="s">
        <v>56</v>
      </c>
      <c r="K27" s="6">
        <v>45012.0</v>
      </c>
      <c r="L27" s="2" t="s">
        <v>5537</v>
      </c>
    </row>
    <row r="28">
      <c r="A28" s="2" t="s">
        <v>5538</v>
      </c>
      <c r="B28" s="2" t="s">
        <v>5539</v>
      </c>
      <c r="C28" s="2" t="s">
        <v>14</v>
      </c>
      <c r="D28" s="2" t="s">
        <v>15</v>
      </c>
      <c r="E28" s="2" t="s">
        <v>23</v>
      </c>
      <c r="F28" s="2">
        <v>5.493815680252E12</v>
      </c>
      <c r="G28" s="2" t="s">
        <v>5540</v>
      </c>
      <c r="H28" s="2" t="s">
        <v>55</v>
      </c>
      <c r="I28" s="2" t="s">
        <v>883</v>
      </c>
      <c r="J28" s="2" t="s">
        <v>611</v>
      </c>
      <c r="K28" s="6">
        <v>45012.0</v>
      </c>
      <c r="L28" s="2" t="s">
        <v>5541</v>
      </c>
    </row>
    <row r="29">
      <c r="A29" s="2" t="s">
        <v>5542</v>
      </c>
      <c r="B29" s="2" t="s">
        <v>5543</v>
      </c>
      <c r="C29" s="2" t="s">
        <v>14</v>
      </c>
      <c r="D29" s="2" t="s">
        <v>15</v>
      </c>
      <c r="E29" s="2" t="s">
        <v>23</v>
      </c>
      <c r="F29" s="2">
        <v>5.493816408758E12</v>
      </c>
      <c r="G29" s="2" t="s">
        <v>5544</v>
      </c>
      <c r="H29" s="2" t="s">
        <v>55</v>
      </c>
      <c r="I29" s="2" t="s">
        <v>883</v>
      </c>
      <c r="J29" s="2" t="s">
        <v>1484</v>
      </c>
      <c r="K29" s="6">
        <v>45008.0</v>
      </c>
      <c r="L29" s="2" t="s">
        <v>5545</v>
      </c>
    </row>
    <row r="30">
      <c r="A30" s="2" t="s">
        <v>5546</v>
      </c>
      <c r="B30" s="2" t="s">
        <v>5547</v>
      </c>
      <c r="C30" s="2" t="s">
        <v>14</v>
      </c>
      <c r="D30" s="2" t="s">
        <v>15</v>
      </c>
      <c r="E30" s="2" t="s">
        <v>23</v>
      </c>
      <c r="F30" s="2">
        <v>5.43814313132E11</v>
      </c>
      <c r="G30" s="2" t="s">
        <v>5548</v>
      </c>
      <c r="H30" s="2" t="s">
        <v>55</v>
      </c>
      <c r="I30" s="2" t="s">
        <v>883</v>
      </c>
      <c r="J30" s="2" t="s">
        <v>611</v>
      </c>
      <c r="K30" s="6">
        <v>45006.0</v>
      </c>
      <c r="L30" s="2" t="s">
        <v>5549</v>
      </c>
    </row>
    <row r="31">
      <c r="A31" s="2" t="s">
        <v>5550</v>
      </c>
      <c r="B31" s="2" t="s">
        <v>5551</v>
      </c>
      <c r="C31" s="2" t="s">
        <v>185</v>
      </c>
      <c r="D31" s="2" t="s">
        <v>15</v>
      </c>
      <c r="E31" s="2" t="s">
        <v>16</v>
      </c>
      <c r="F31" s="2">
        <v>3.81678104E9</v>
      </c>
      <c r="G31" s="2" t="s">
        <v>5552</v>
      </c>
      <c r="H31" s="2" t="s">
        <v>55</v>
      </c>
      <c r="I31" s="2" t="s">
        <v>883</v>
      </c>
      <c r="J31" s="2" t="s">
        <v>611</v>
      </c>
      <c r="K31" s="6">
        <v>45035.0</v>
      </c>
      <c r="L31" s="2" t="s">
        <v>5553</v>
      </c>
    </row>
    <row r="32">
      <c r="A32" s="2" t="s">
        <v>5554</v>
      </c>
      <c r="B32" s="2" t="s">
        <v>5555</v>
      </c>
      <c r="C32" s="2" t="s">
        <v>14</v>
      </c>
      <c r="D32" s="2" t="s">
        <v>15</v>
      </c>
      <c r="E32" s="2" t="s">
        <v>23</v>
      </c>
      <c r="F32" s="2">
        <v>5.493816408758E12</v>
      </c>
      <c r="G32" s="2" t="s">
        <v>5556</v>
      </c>
      <c r="H32" s="2" t="s">
        <v>55</v>
      </c>
      <c r="I32" s="2" t="s">
        <v>883</v>
      </c>
      <c r="J32" s="2" t="s">
        <v>1484</v>
      </c>
      <c r="K32" s="6">
        <v>45035.0</v>
      </c>
      <c r="L32" s="2" t="s">
        <v>5545</v>
      </c>
    </row>
    <row r="33">
      <c r="A33" s="2" t="s">
        <v>5557</v>
      </c>
      <c r="B33" s="2" t="s">
        <v>5558</v>
      </c>
      <c r="C33" s="2" t="s">
        <v>14</v>
      </c>
      <c r="D33" s="2" t="s">
        <v>15</v>
      </c>
      <c r="E33" s="2" t="s">
        <v>23</v>
      </c>
      <c r="F33" s="2">
        <v>5.493815788111E12</v>
      </c>
      <c r="G33" s="2" t="s">
        <v>5559</v>
      </c>
      <c r="H33" s="2" t="s">
        <v>55</v>
      </c>
      <c r="I33" s="2" t="s">
        <v>883</v>
      </c>
      <c r="J33" s="2" t="s">
        <v>5560</v>
      </c>
      <c r="K33" s="6">
        <v>45033.0</v>
      </c>
      <c r="L33" s="2" t="s">
        <v>5561</v>
      </c>
    </row>
    <row r="34">
      <c r="A34" s="2" t="s">
        <v>5562</v>
      </c>
      <c r="B34" s="2" t="s">
        <v>5563</v>
      </c>
      <c r="C34" s="2" t="s">
        <v>185</v>
      </c>
      <c r="D34" s="2" t="s">
        <v>15</v>
      </c>
      <c r="E34" s="2" t="s">
        <v>23</v>
      </c>
      <c r="F34" s="2">
        <v>5.493816828381E12</v>
      </c>
      <c r="G34" s="2" t="s">
        <v>5564</v>
      </c>
      <c r="H34" s="2" t="s">
        <v>55</v>
      </c>
      <c r="I34" s="2" t="s">
        <v>56</v>
      </c>
      <c r="J34" s="2" t="s">
        <v>56</v>
      </c>
      <c r="K34" s="6">
        <v>45029.0</v>
      </c>
      <c r="L34" s="2" t="s">
        <v>5565</v>
      </c>
    </row>
    <row r="35">
      <c r="A35" s="2" t="s">
        <v>5566</v>
      </c>
      <c r="B35" s="2" t="s">
        <v>5567</v>
      </c>
      <c r="C35" s="2" t="s">
        <v>14</v>
      </c>
      <c r="D35" s="2" t="s">
        <v>15</v>
      </c>
      <c r="E35" s="2" t="s">
        <v>23</v>
      </c>
      <c r="F35" s="2">
        <v>5.493813585401E12</v>
      </c>
      <c r="G35" s="2" t="s">
        <v>5568</v>
      </c>
      <c r="H35" s="2" t="s">
        <v>55</v>
      </c>
      <c r="I35" s="2" t="s">
        <v>883</v>
      </c>
      <c r="J35" s="2" t="s">
        <v>2400</v>
      </c>
      <c r="K35" s="6">
        <v>45021.0</v>
      </c>
      <c r="L35" s="2" t="s">
        <v>5569</v>
      </c>
    </row>
    <row r="36">
      <c r="A36" s="2" t="s">
        <v>5570</v>
      </c>
      <c r="B36" s="2" t="s">
        <v>5571</v>
      </c>
      <c r="C36" s="2" t="s">
        <v>185</v>
      </c>
      <c r="D36" s="2" t="s">
        <v>15</v>
      </c>
      <c r="E36" s="2" t="s">
        <v>23</v>
      </c>
      <c r="F36" s="2">
        <v>5.493813398488E12</v>
      </c>
      <c r="G36" s="2" t="s">
        <v>5572</v>
      </c>
      <c r="H36" s="2" t="s">
        <v>55</v>
      </c>
      <c r="I36" s="2" t="s">
        <v>883</v>
      </c>
      <c r="J36" s="2" t="s">
        <v>611</v>
      </c>
      <c r="K36" s="6">
        <v>45046.0</v>
      </c>
      <c r="L36" s="2" t="s">
        <v>5573</v>
      </c>
    </row>
    <row r="37">
      <c r="A37" s="2" t="s">
        <v>5574</v>
      </c>
      <c r="B37" s="2" t="s">
        <v>5575</v>
      </c>
      <c r="C37" s="2" t="s">
        <v>14</v>
      </c>
      <c r="D37" s="2" t="s">
        <v>15</v>
      </c>
      <c r="E37" s="2" t="s">
        <v>23</v>
      </c>
      <c r="F37" s="2">
        <v>5.493816677128E12</v>
      </c>
      <c r="G37" s="2" t="s">
        <v>5576</v>
      </c>
      <c r="H37" s="2" t="s">
        <v>55</v>
      </c>
      <c r="I37" s="2" t="s">
        <v>56</v>
      </c>
      <c r="J37" s="2" t="s">
        <v>56</v>
      </c>
      <c r="K37" s="6">
        <v>45044.0</v>
      </c>
      <c r="L37" s="2" t="s">
        <v>5577</v>
      </c>
    </row>
    <row r="38">
      <c r="A38" s="2" t="s">
        <v>5578</v>
      </c>
      <c r="B38" s="2" t="s">
        <v>5579</v>
      </c>
      <c r="C38" s="2" t="s">
        <v>14</v>
      </c>
      <c r="D38" s="2" t="s">
        <v>15</v>
      </c>
      <c r="E38" s="2" t="s">
        <v>23</v>
      </c>
      <c r="F38" s="2">
        <v>5.493816983569E12</v>
      </c>
      <c r="G38" s="2" t="s">
        <v>5580</v>
      </c>
      <c r="H38" s="2" t="s">
        <v>55</v>
      </c>
      <c r="I38" s="2" t="s">
        <v>883</v>
      </c>
      <c r="J38" s="2" t="s">
        <v>1484</v>
      </c>
      <c r="K38" s="6">
        <v>45043.0</v>
      </c>
      <c r="L38" s="2" t="s">
        <v>5581</v>
      </c>
    </row>
    <row r="39">
      <c r="A39" s="2" t="s">
        <v>5582</v>
      </c>
      <c r="B39" s="2" t="s">
        <v>5583</v>
      </c>
      <c r="C39" s="2" t="s">
        <v>14</v>
      </c>
      <c r="D39" s="2" t="s">
        <v>15</v>
      </c>
      <c r="E39" s="2" t="s">
        <v>23</v>
      </c>
      <c r="F39" s="2">
        <v>5.493816677128E12</v>
      </c>
      <c r="G39" s="2" t="s">
        <v>5584</v>
      </c>
      <c r="H39" s="2" t="s">
        <v>55</v>
      </c>
      <c r="I39" s="2" t="s">
        <v>883</v>
      </c>
      <c r="J39" s="2" t="s">
        <v>688</v>
      </c>
      <c r="K39" s="6">
        <v>45043.0</v>
      </c>
      <c r="L39" s="2" t="s">
        <v>5585</v>
      </c>
    </row>
    <row r="40">
      <c r="A40" s="2" t="s">
        <v>5586</v>
      </c>
      <c r="B40" s="2" t="s">
        <v>5587</v>
      </c>
      <c r="C40" s="2" t="s">
        <v>14</v>
      </c>
      <c r="D40" s="2" t="s">
        <v>15</v>
      </c>
      <c r="E40" s="2" t="s">
        <v>23</v>
      </c>
      <c r="F40" s="2">
        <v>5.493815016007E12</v>
      </c>
      <c r="G40" s="2" t="s">
        <v>5588</v>
      </c>
      <c r="H40" s="2" t="s">
        <v>55</v>
      </c>
      <c r="I40" s="2" t="s">
        <v>883</v>
      </c>
      <c r="J40" s="2" t="s">
        <v>2400</v>
      </c>
      <c r="K40" s="6">
        <v>45042.0</v>
      </c>
      <c r="L40" s="2" t="s">
        <v>5589</v>
      </c>
    </row>
    <row r="41">
      <c r="A41" s="2" t="s">
        <v>5590</v>
      </c>
      <c r="B41" s="2" t="s">
        <v>5591</v>
      </c>
      <c r="C41" s="2" t="s">
        <v>14</v>
      </c>
      <c r="D41" s="2" t="s">
        <v>15</v>
      </c>
      <c r="E41" s="2" t="s">
        <v>23</v>
      </c>
      <c r="F41" s="2">
        <v>5.493813036467E12</v>
      </c>
      <c r="G41" s="2" t="s">
        <v>5592</v>
      </c>
      <c r="H41" s="2" t="s">
        <v>55</v>
      </c>
      <c r="I41" s="2" t="s">
        <v>883</v>
      </c>
      <c r="J41" s="2" t="s">
        <v>3840</v>
      </c>
      <c r="K41" s="6">
        <v>45041.0</v>
      </c>
      <c r="L41" s="2" t="s">
        <v>5593</v>
      </c>
    </row>
    <row r="42">
      <c r="A42" s="2" t="s">
        <v>5594</v>
      </c>
      <c r="B42" s="2" t="s">
        <v>5595</v>
      </c>
      <c r="C42" s="2" t="s">
        <v>14</v>
      </c>
      <c r="D42" s="2" t="s">
        <v>15</v>
      </c>
      <c r="E42" s="2" t="s">
        <v>23</v>
      </c>
      <c r="F42" s="2">
        <v>5.493815400222E12</v>
      </c>
      <c r="G42" s="2" t="s">
        <v>5596</v>
      </c>
      <c r="H42" s="2" t="s">
        <v>55</v>
      </c>
      <c r="I42" s="2" t="s">
        <v>56</v>
      </c>
      <c r="J42" s="2" t="s">
        <v>56</v>
      </c>
      <c r="K42" s="6">
        <v>45041.0</v>
      </c>
      <c r="L42" s="2" t="s">
        <v>5597</v>
      </c>
    </row>
    <row r="43">
      <c r="A43" s="2" t="s">
        <v>5598</v>
      </c>
      <c r="B43" s="2" t="s">
        <v>5599</v>
      </c>
      <c r="C43" s="2" t="s">
        <v>14</v>
      </c>
      <c r="D43" s="2" t="s">
        <v>15</v>
      </c>
      <c r="E43" s="2" t="s">
        <v>23</v>
      </c>
      <c r="F43" s="2">
        <v>5.493816470991E12</v>
      </c>
      <c r="G43" s="2" t="s">
        <v>5600</v>
      </c>
      <c r="H43" s="2" t="s">
        <v>55</v>
      </c>
      <c r="I43" s="2" t="s">
        <v>56</v>
      </c>
      <c r="J43" s="2" t="s">
        <v>56</v>
      </c>
      <c r="K43" s="6">
        <v>45041.0</v>
      </c>
      <c r="L43" s="2" t="s">
        <v>5601</v>
      </c>
    </row>
    <row r="44">
      <c r="A44" s="2" t="s">
        <v>5602</v>
      </c>
      <c r="B44" s="2" t="s">
        <v>5603</v>
      </c>
      <c r="C44" s="2" t="s">
        <v>14</v>
      </c>
      <c r="D44" s="2" t="s">
        <v>15</v>
      </c>
      <c r="E44" s="2" t="s">
        <v>23</v>
      </c>
      <c r="F44" s="2">
        <v>5.493816677128E12</v>
      </c>
      <c r="G44" s="2" t="s">
        <v>5604</v>
      </c>
      <c r="H44" s="2" t="s">
        <v>55</v>
      </c>
      <c r="I44" s="2" t="s">
        <v>56</v>
      </c>
      <c r="J44" s="2" t="s">
        <v>56</v>
      </c>
      <c r="K44" s="6">
        <v>45040.0</v>
      </c>
      <c r="L44" s="2" t="s">
        <v>5605</v>
      </c>
    </row>
    <row r="45">
      <c r="A45" s="2" t="s">
        <v>5606</v>
      </c>
      <c r="B45" s="2" t="s">
        <v>5607</v>
      </c>
      <c r="C45" s="2" t="s">
        <v>14</v>
      </c>
      <c r="D45" s="2" t="s">
        <v>15</v>
      </c>
      <c r="E45" s="2" t="s">
        <v>23</v>
      </c>
      <c r="F45" s="2">
        <v>5.493813302702E12</v>
      </c>
      <c r="G45" s="2" t="s">
        <v>5608</v>
      </c>
      <c r="H45" s="2" t="s">
        <v>55</v>
      </c>
      <c r="I45" s="2" t="s">
        <v>883</v>
      </c>
      <c r="J45" s="2" t="s">
        <v>2459</v>
      </c>
      <c r="K45" s="6">
        <v>45068.0</v>
      </c>
      <c r="L45" s="2" t="s">
        <v>5609</v>
      </c>
    </row>
    <row r="46">
      <c r="A46" s="2" t="s">
        <v>5610</v>
      </c>
      <c r="B46" s="2" t="s">
        <v>5611</v>
      </c>
      <c r="C46" s="2" t="s">
        <v>14</v>
      </c>
      <c r="D46" s="2" t="s">
        <v>15</v>
      </c>
      <c r="E46" s="2" t="s">
        <v>23</v>
      </c>
      <c r="F46" s="2">
        <v>5.49381570774E12</v>
      </c>
      <c r="G46" s="2" t="s">
        <v>5612</v>
      </c>
      <c r="H46" s="2" t="s">
        <v>55</v>
      </c>
      <c r="I46" s="2" t="s">
        <v>56</v>
      </c>
      <c r="J46" s="2" t="s">
        <v>56</v>
      </c>
      <c r="K46" s="6">
        <v>45068.0</v>
      </c>
      <c r="L46" s="2" t="s">
        <v>5613</v>
      </c>
    </row>
    <row r="47">
      <c r="A47" s="2" t="s">
        <v>5614</v>
      </c>
      <c r="B47" s="2" t="s">
        <v>5615</v>
      </c>
      <c r="C47" s="2" t="s">
        <v>14</v>
      </c>
      <c r="D47" s="2" t="s">
        <v>15</v>
      </c>
      <c r="E47" s="2" t="s">
        <v>23</v>
      </c>
      <c r="F47" s="2">
        <v>5.493813552998E12</v>
      </c>
      <c r="G47" s="2" t="s">
        <v>5616</v>
      </c>
      <c r="H47" s="2" t="s">
        <v>55</v>
      </c>
      <c r="I47" s="2" t="s">
        <v>56</v>
      </c>
      <c r="J47" s="2" t="s">
        <v>56</v>
      </c>
      <c r="K47" s="6">
        <v>45066.0</v>
      </c>
      <c r="L47" s="2" t="s">
        <v>5617</v>
      </c>
    </row>
    <row r="48">
      <c r="A48" s="2" t="s">
        <v>5618</v>
      </c>
      <c r="B48" s="2" t="s">
        <v>5619</v>
      </c>
      <c r="C48" s="2" t="s">
        <v>14</v>
      </c>
      <c r="D48" s="2" t="s">
        <v>15</v>
      </c>
      <c r="E48" s="2" t="s">
        <v>23</v>
      </c>
      <c r="F48" s="2">
        <v>5.493858409241E12</v>
      </c>
      <c r="G48" s="2" t="s">
        <v>5620</v>
      </c>
      <c r="H48" s="2" t="s">
        <v>55</v>
      </c>
      <c r="I48" s="2" t="s">
        <v>883</v>
      </c>
      <c r="J48" s="2" t="s">
        <v>5621</v>
      </c>
      <c r="K48" s="6">
        <v>45065.0</v>
      </c>
      <c r="L48" s="2" t="s">
        <v>5622</v>
      </c>
    </row>
    <row r="49">
      <c r="A49" s="2" t="s">
        <v>5623</v>
      </c>
      <c r="B49" s="2" t="s">
        <v>5624</v>
      </c>
      <c r="C49" s="2" t="s">
        <v>14</v>
      </c>
      <c r="D49" s="2" t="s">
        <v>15</v>
      </c>
      <c r="E49" s="2" t="s">
        <v>23</v>
      </c>
      <c r="F49" s="2">
        <v>5.493858409241E12</v>
      </c>
      <c r="G49" s="2" t="s">
        <v>5620</v>
      </c>
      <c r="H49" s="2" t="s">
        <v>55</v>
      </c>
      <c r="I49" s="2" t="s">
        <v>883</v>
      </c>
      <c r="J49" s="2" t="s">
        <v>5621</v>
      </c>
      <c r="K49" s="6">
        <v>45064.0</v>
      </c>
      <c r="L49" s="2" t="s">
        <v>5625</v>
      </c>
    </row>
    <row r="50">
      <c r="A50" s="2" t="s">
        <v>5626</v>
      </c>
      <c r="B50" s="2" t="s">
        <v>5627</v>
      </c>
      <c r="C50" s="2" t="s">
        <v>14</v>
      </c>
      <c r="D50" s="2" t="s">
        <v>15</v>
      </c>
      <c r="E50" s="2" t="s">
        <v>16</v>
      </c>
      <c r="F50" s="2">
        <v>5.49381412699E12</v>
      </c>
      <c r="G50" s="2" t="s">
        <v>5628</v>
      </c>
      <c r="H50" s="2" t="s">
        <v>55</v>
      </c>
      <c r="I50" s="2" t="s">
        <v>883</v>
      </c>
      <c r="J50" s="2" t="s">
        <v>1484</v>
      </c>
      <c r="K50" s="6">
        <v>45058.0</v>
      </c>
      <c r="L50" s="2" t="s">
        <v>5629</v>
      </c>
    </row>
    <row r="51">
      <c r="A51" s="2" t="s">
        <v>5630</v>
      </c>
      <c r="B51" s="2" t="s">
        <v>5631</v>
      </c>
      <c r="C51" s="2" t="s">
        <v>14</v>
      </c>
      <c r="D51" s="2" t="s">
        <v>15</v>
      </c>
      <c r="E51" s="2" t="s">
        <v>23</v>
      </c>
      <c r="F51" s="2">
        <v>5.493814098491E12</v>
      </c>
      <c r="G51" s="2" t="s">
        <v>5632</v>
      </c>
      <c r="H51" s="2" t="s">
        <v>55</v>
      </c>
      <c r="I51" s="2" t="s">
        <v>883</v>
      </c>
      <c r="J51" s="2" t="s">
        <v>2459</v>
      </c>
      <c r="K51" s="6">
        <v>45057.0</v>
      </c>
      <c r="L51" s="2" t="s">
        <v>5633</v>
      </c>
    </row>
    <row r="52">
      <c r="A52" s="2" t="s">
        <v>5634</v>
      </c>
      <c r="B52" s="2" t="s">
        <v>5635</v>
      </c>
      <c r="C52" s="2" t="s">
        <v>14</v>
      </c>
      <c r="D52" s="2" t="s">
        <v>15</v>
      </c>
      <c r="E52" s="2" t="s">
        <v>23</v>
      </c>
      <c r="F52" s="2">
        <v>5.49381544903E12</v>
      </c>
      <c r="G52" s="2" t="s">
        <v>5636</v>
      </c>
      <c r="H52" s="2" t="s">
        <v>55</v>
      </c>
      <c r="I52" s="2" t="s">
        <v>883</v>
      </c>
      <c r="J52" s="2" t="s">
        <v>2459</v>
      </c>
      <c r="K52" s="6">
        <v>45056.0</v>
      </c>
      <c r="L52" s="2" t="s">
        <v>5637</v>
      </c>
    </row>
    <row r="53">
      <c r="A53" s="2" t="s">
        <v>5638</v>
      </c>
      <c r="B53" s="2" t="s">
        <v>5639</v>
      </c>
      <c r="C53" s="2" t="s">
        <v>831</v>
      </c>
      <c r="D53" s="2" t="s">
        <v>15</v>
      </c>
      <c r="E53" s="2" t="s">
        <v>23</v>
      </c>
      <c r="F53" s="2">
        <v>5.493816229419E12</v>
      </c>
      <c r="G53" s="2" t="s">
        <v>5640</v>
      </c>
      <c r="H53" s="2" t="s">
        <v>55</v>
      </c>
      <c r="I53" s="2" t="s">
        <v>883</v>
      </c>
      <c r="J53" s="2" t="s">
        <v>1484</v>
      </c>
      <c r="K53" s="6">
        <v>45051.0</v>
      </c>
      <c r="L53" s="2" t="s">
        <v>5641</v>
      </c>
    </row>
    <row r="54">
      <c r="A54" s="2" t="s">
        <v>5642</v>
      </c>
      <c r="B54" s="2" t="s">
        <v>5643</v>
      </c>
      <c r="C54" s="2" t="s">
        <v>493</v>
      </c>
      <c r="D54" s="2" t="s">
        <v>15</v>
      </c>
      <c r="E54" s="2" t="s">
        <v>16</v>
      </c>
      <c r="F54" s="2">
        <v>5.491111111111E12</v>
      </c>
      <c r="G54" s="2" t="s">
        <v>5644</v>
      </c>
      <c r="H54" s="2" t="s">
        <v>55</v>
      </c>
      <c r="I54" s="2" t="s">
        <v>56</v>
      </c>
      <c r="J54" s="2" t="s">
        <v>56</v>
      </c>
      <c r="K54" s="6">
        <v>45083.0</v>
      </c>
      <c r="L54" s="2" t="s">
        <v>5645</v>
      </c>
    </row>
    <row r="55">
      <c r="A55" s="2" t="s">
        <v>5646</v>
      </c>
      <c r="B55" s="2" t="s">
        <v>5647</v>
      </c>
      <c r="C55" s="2" t="s">
        <v>14</v>
      </c>
      <c r="D55" s="2" t="s">
        <v>15</v>
      </c>
      <c r="E55" s="2" t="s">
        <v>16</v>
      </c>
      <c r="F55" s="2">
        <v>5.493816254773E12</v>
      </c>
      <c r="G55" s="2" t="s">
        <v>5648</v>
      </c>
      <c r="H55" s="2" t="s">
        <v>55</v>
      </c>
      <c r="I55" s="2" t="s">
        <v>56</v>
      </c>
      <c r="J55" s="2" t="s">
        <v>56</v>
      </c>
      <c r="K55" s="6">
        <v>45076.0</v>
      </c>
      <c r="L55" s="2" t="s">
        <v>5649</v>
      </c>
    </row>
    <row r="56">
      <c r="A56" s="2" t="s">
        <v>5650</v>
      </c>
      <c r="B56" s="2" t="s">
        <v>5651</v>
      </c>
      <c r="C56" s="2" t="s">
        <v>14</v>
      </c>
      <c r="D56" s="2" t="s">
        <v>15</v>
      </c>
      <c r="E56" s="2" t="s">
        <v>23</v>
      </c>
      <c r="F56" s="2">
        <v>5.493815989018E12</v>
      </c>
      <c r="G56" s="2" t="s">
        <v>5652</v>
      </c>
      <c r="H56" s="2" t="s">
        <v>55</v>
      </c>
      <c r="I56" s="2" t="s">
        <v>883</v>
      </c>
      <c r="J56" s="2" t="s">
        <v>5653</v>
      </c>
      <c r="K56" s="6">
        <v>45076.0</v>
      </c>
      <c r="L56" s="2" t="s">
        <v>5654</v>
      </c>
    </row>
    <row r="57">
      <c r="A57" s="2" t="s">
        <v>5655</v>
      </c>
      <c r="B57" s="2" t="s">
        <v>5656</v>
      </c>
      <c r="C57" s="2" t="s">
        <v>185</v>
      </c>
      <c r="D57" s="2" t="s">
        <v>15</v>
      </c>
      <c r="E57" s="2" t="s">
        <v>23</v>
      </c>
      <c r="F57" s="2">
        <v>5.493815018123E12</v>
      </c>
      <c r="G57" s="2" t="s">
        <v>5657</v>
      </c>
      <c r="H57" s="2" t="s">
        <v>55</v>
      </c>
      <c r="I57" s="2" t="s">
        <v>56</v>
      </c>
      <c r="J57" s="2" t="s">
        <v>56</v>
      </c>
      <c r="K57" s="6">
        <v>45075.0</v>
      </c>
      <c r="L57" s="2" t="s">
        <v>5658</v>
      </c>
    </row>
    <row r="58">
      <c r="A58" s="2" t="s">
        <v>5659</v>
      </c>
      <c r="B58" s="2" t="s">
        <v>5660</v>
      </c>
      <c r="C58" s="2" t="s">
        <v>14</v>
      </c>
      <c r="D58" s="2" t="s">
        <v>15</v>
      </c>
      <c r="E58" s="2" t="s">
        <v>23</v>
      </c>
      <c r="F58" s="2">
        <v>5.493814786703E12</v>
      </c>
      <c r="G58" s="2" t="s">
        <v>5661</v>
      </c>
      <c r="H58" s="2" t="s">
        <v>55</v>
      </c>
      <c r="I58" s="2" t="s">
        <v>883</v>
      </c>
      <c r="J58" s="2" t="s">
        <v>1484</v>
      </c>
      <c r="K58" s="6">
        <v>45092.0</v>
      </c>
      <c r="L58" s="2" t="s">
        <v>5662</v>
      </c>
    </row>
    <row r="59">
      <c r="A59" s="2" t="s">
        <v>5663</v>
      </c>
      <c r="B59" s="2" t="s">
        <v>5664</v>
      </c>
      <c r="C59" s="2" t="s">
        <v>14</v>
      </c>
      <c r="D59" s="2" t="s">
        <v>15</v>
      </c>
      <c r="E59" s="2" t="s">
        <v>16</v>
      </c>
      <c r="F59" s="2">
        <v>5.493816448281E12</v>
      </c>
      <c r="G59" s="2" t="s">
        <v>5665</v>
      </c>
      <c r="H59" s="2" t="s">
        <v>55</v>
      </c>
      <c r="I59" s="2" t="s">
        <v>56</v>
      </c>
      <c r="J59" s="2" t="s">
        <v>56</v>
      </c>
      <c r="K59" s="6">
        <v>45091.0</v>
      </c>
      <c r="L59" s="2" t="s">
        <v>5666</v>
      </c>
    </row>
    <row r="60">
      <c r="A60" s="2" t="s">
        <v>5667</v>
      </c>
      <c r="B60" s="2" t="s">
        <v>5668</v>
      </c>
      <c r="C60" s="2" t="s">
        <v>185</v>
      </c>
      <c r="D60" s="2" t="s">
        <v>15</v>
      </c>
      <c r="E60" s="2" t="s">
        <v>16</v>
      </c>
      <c r="F60" s="2">
        <v>5.493813398488E12</v>
      </c>
      <c r="G60" s="2" t="s">
        <v>5669</v>
      </c>
      <c r="H60" s="2" t="s">
        <v>55</v>
      </c>
      <c r="I60" s="2" t="s">
        <v>883</v>
      </c>
      <c r="J60" s="2" t="s">
        <v>1484</v>
      </c>
      <c r="K60" s="6">
        <v>45091.0</v>
      </c>
      <c r="L60" s="2" t="s">
        <v>5670</v>
      </c>
    </row>
    <row r="61">
      <c r="A61" s="2" t="s">
        <v>5671</v>
      </c>
      <c r="B61" s="2" t="s">
        <v>5672</v>
      </c>
      <c r="C61" s="2" t="s">
        <v>14</v>
      </c>
      <c r="D61" s="2" t="s">
        <v>15</v>
      </c>
      <c r="E61" s="2" t="s">
        <v>23</v>
      </c>
      <c r="F61" s="2">
        <v>5.493815618512E12</v>
      </c>
      <c r="G61" s="2" t="s">
        <v>5673</v>
      </c>
      <c r="H61" s="2" t="s">
        <v>55</v>
      </c>
      <c r="I61" s="2" t="s">
        <v>883</v>
      </c>
      <c r="J61" s="2" t="s">
        <v>5674</v>
      </c>
      <c r="K61" s="6">
        <v>45086.0</v>
      </c>
      <c r="L61" s="2" t="s">
        <v>5675</v>
      </c>
    </row>
    <row r="62">
      <c r="A62" s="2" t="s">
        <v>5676</v>
      </c>
      <c r="B62" s="2" t="s">
        <v>5677</v>
      </c>
      <c r="C62" s="2" t="s">
        <v>14</v>
      </c>
      <c r="D62" s="2" t="s">
        <v>15</v>
      </c>
      <c r="E62" s="2" t="s">
        <v>16</v>
      </c>
      <c r="F62" s="2">
        <v>5.493814474342E12</v>
      </c>
      <c r="G62" s="2" t="s">
        <v>5678</v>
      </c>
      <c r="H62" s="2" t="s">
        <v>55</v>
      </c>
      <c r="I62" s="2" t="s">
        <v>883</v>
      </c>
      <c r="J62" s="2" t="s">
        <v>611</v>
      </c>
      <c r="K62" s="6">
        <v>45069.0</v>
      </c>
      <c r="L62" s="2" t="s">
        <v>5679</v>
      </c>
    </row>
    <row r="63">
      <c r="A63" s="2" t="s">
        <v>5680</v>
      </c>
      <c r="B63" s="2" t="s">
        <v>5681</v>
      </c>
      <c r="C63" s="2" t="s">
        <v>831</v>
      </c>
      <c r="D63" s="2" t="s">
        <v>15</v>
      </c>
      <c r="E63" s="2" t="s">
        <v>23</v>
      </c>
      <c r="F63" s="2">
        <v>5.493813030875E12</v>
      </c>
      <c r="G63" s="2" t="s">
        <v>5682</v>
      </c>
      <c r="H63" s="2" t="s">
        <v>55</v>
      </c>
      <c r="I63" s="2" t="s">
        <v>883</v>
      </c>
      <c r="J63" s="2" t="s">
        <v>611</v>
      </c>
      <c r="K63" s="6">
        <v>45105.0</v>
      </c>
      <c r="L63" s="2" t="s">
        <v>5683</v>
      </c>
    </row>
    <row r="64">
      <c r="A64" s="2" t="s">
        <v>5684</v>
      </c>
      <c r="B64" s="2" t="s">
        <v>5685</v>
      </c>
      <c r="C64" s="2" t="s">
        <v>493</v>
      </c>
      <c r="D64" s="2" t="s">
        <v>15</v>
      </c>
      <c r="E64" s="2" t="s">
        <v>23</v>
      </c>
      <c r="F64" s="2">
        <v>5.493815838925E12</v>
      </c>
      <c r="G64" s="2" t="s">
        <v>5686</v>
      </c>
      <c r="H64" s="2" t="s">
        <v>55</v>
      </c>
      <c r="I64" s="2" t="s">
        <v>883</v>
      </c>
      <c r="J64" s="2" t="s">
        <v>2400</v>
      </c>
      <c r="K64" s="6">
        <v>45103.0</v>
      </c>
      <c r="L64" s="2" t="s">
        <v>5687</v>
      </c>
    </row>
    <row r="65">
      <c r="A65" s="2" t="s">
        <v>5688</v>
      </c>
      <c r="B65" s="2" t="s">
        <v>5689</v>
      </c>
      <c r="C65" s="2" t="s">
        <v>14</v>
      </c>
      <c r="D65" s="2" t="s">
        <v>15</v>
      </c>
      <c r="E65" s="2" t="s">
        <v>23</v>
      </c>
      <c r="F65" s="2">
        <v>5.493816263099E12</v>
      </c>
      <c r="G65" s="2" t="s">
        <v>5690</v>
      </c>
      <c r="H65" s="2" t="s">
        <v>55</v>
      </c>
      <c r="I65" s="2" t="s">
        <v>56</v>
      </c>
      <c r="J65" s="2" t="s">
        <v>56</v>
      </c>
      <c r="K65" s="6">
        <v>45101.0</v>
      </c>
      <c r="L65" s="2" t="s">
        <v>5691</v>
      </c>
    </row>
    <row r="66">
      <c r="A66" s="2" t="s">
        <v>5692</v>
      </c>
      <c r="B66" s="2" t="s">
        <v>5693</v>
      </c>
      <c r="C66" s="2" t="s">
        <v>14</v>
      </c>
      <c r="D66" s="2" t="s">
        <v>15</v>
      </c>
      <c r="E66" s="2" t="s">
        <v>16</v>
      </c>
      <c r="F66" s="2">
        <v>5.493813677872E12</v>
      </c>
      <c r="G66" s="2" t="s">
        <v>5694</v>
      </c>
      <c r="H66" s="2" t="s">
        <v>55</v>
      </c>
      <c r="I66" s="2" t="s">
        <v>883</v>
      </c>
      <c r="J66" s="2" t="s">
        <v>688</v>
      </c>
      <c r="K66" s="6">
        <v>45100.0</v>
      </c>
      <c r="L66" s="2" t="s">
        <v>5695</v>
      </c>
    </row>
    <row r="67">
      <c r="A67" s="2" t="s">
        <v>5696</v>
      </c>
      <c r="B67" s="2" t="s">
        <v>5697</v>
      </c>
      <c r="C67" s="2" t="s">
        <v>14</v>
      </c>
      <c r="D67" s="2" t="s">
        <v>15</v>
      </c>
      <c r="E67" s="2" t="s">
        <v>16</v>
      </c>
      <c r="F67" s="2">
        <v>5.493815457682E12</v>
      </c>
      <c r="G67" s="2" t="s">
        <v>5698</v>
      </c>
      <c r="H67" s="2" t="s">
        <v>55</v>
      </c>
      <c r="I67" s="2" t="s">
        <v>56</v>
      </c>
      <c r="J67" s="2" t="s">
        <v>56</v>
      </c>
      <c r="K67" s="6">
        <v>45100.0</v>
      </c>
      <c r="L67" s="2" t="s">
        <v>5699</v>
      </c>
    </row>
    <row r="68">
      <c r="A68" s="2" t="s">
        <v>5700</v>
      </c>
      <c r="B68" s="2" t="s">
        <v>5701</v>
      </c>
      <c r="C68" s="2" t="s">
        <v>14</v>
      </c>
      <c r="D68" s="2" t="s">
        <v>15</v>
      </c>
      <c r="E68" s="2" t="s">
        <v>23</v>
      </c>
      <c r="F68" s="2">
        <v>5.493815844952E12</v>
      </c>
      <c r="G68" s="2" t="s">
        <v>5702</v>
      </c>
      <c r="H68" s="2" t="s">
        <v>55</v>
      </c>
      <c r="I68" s="2" t="s">
        <v>883</v>
      </c>
      <c r="J68" s="2" t="s">
        <v>611</v>
      </c>
      <c r="K68" s="6">
        <v>45124.0</v>
      </c>
      <c r="L68" s="2" t="s">
        <v>5703</v>
      </c>
    </row>
    <row r="69">
      <c r="A69" s="2" t="s">
        <v>5704</v>
      </c>
      <c r="B69" s="2" t="s">
        <v>5705</v>
      </c>
      <c r="C69" s="2" t="s">
        <v>14</v>
      </c>
      <c r="D69" s="2" t="s">
        <v>15</v>
      </c>
      <c r="E69" s="2" t="s">
        <v>23</v>
      </c>
      <c r="F69" s="2">
        <v>5.493816437398E12</v>
      </c>
      <c r="G69" s="2" t="s">
        <v>5706</v>
      </c>
      <c r="H69" s="2" t="s">
        <v>55</v>
      </c>
      <c r="I69" s="2" t="s">
        <v>883</v>
      </c>
      <c r="J69" s="2" t="s">
        <v>5707</v>
      </c>
      <c r="K69" s="6">
        <v>45099.0</v>
      </c>
      <c r="L69" s="2" t="s">
        <v>5708</v>
      </c>
    </row>
    <row r="70">
      <c r="A70" s="2" t="s">
        <v>5709</v>
      </c>
      <c r="B70" s="2" t="s">
        <v>5710</v>
      </c>
      <c r="C70" s="2" t="s">
        <v>14</v>
      </c>
      <c r="D70" s="2" t="s">
        <v>15</v>
      </c>
      <c r="E70" s="2" t="s">
        <v>16</v>
      </c>
      <c r="F70" s="2">
        <v>5.49381445334E12</v>
      </c>
      <c r="G70" s="2" t="s">
        <v>5711</v>
      </c>
      <c r="H70" s="2" t="s">
        <v>55</v>
      </c>
      <c r="I70" s="2" t="s">
        <v>56</v>
      </c>
      <c r="J70" s="2" t="s">
        <v>56</v>
      </c>
      <c r="K70" s="6">
        <v>45147.0</v>
      </c>
      <c r="L70" s="2" t="s">
        <v>5712</v>
      </c>
    </row>
    <row r="71">
      <c r="A71" s="2" t="s">
        <v>5713</v>
      </c>
      <c r="B71" s="2" t="s">
        <v>5714</v>
      </c>
      <c r="C71" s="2" t="s">
        <v>14</v>
      </c>
      <c r="D71" s="2" t="s">
        <v>15</v>
      </c>
      <c r="E71" s="2" t="s">
        <v>23</v>
      </c>
      <c r="F71" s="2">
        <v>5.493814435984E12</v>
      </c>
      <c r="G71" s="2" t="s">
        <v>5715</v>
      </c>
      <c r="H71" s="2" t="s">
        <v>55</v>
      </c>
      <c r="I71" s="2" t="s">
        <v>883</v>
      </c>
      <c r="J71" s="2" t="s">
        <v>2400</v>
      </c>
      <c r="K71" s="6">
        <v>45140.0</v>
      </c>
      <c r="L71" s="2" t="s">
        <v>5716</v>
      </c>
    </row>
    <row r="72">
      <c r="A72" s="2" t="s">
        <v>5717</v>
      </c>
      <c r="B72" s="2" t="s">
        <v>5718</v>
      </c>
      <c r="C72" s="2" t="s">
        <v>14</v>
      </c>
      <c r="D72" s="2" t="s">
        <v>15</v>
      </c>
      <c r="E72" s="2" t="s">
        <v>23</v>
      </c>
      <c r="F72" s="2">
        <v>4.93815464011E11</v>
      </c>
      <c r="G72" s="2" t="s">
        <v>5719</v>
      </c>
      <c r="H72" s="2" t="s">
        <v>55</v>
      </c>
      <c r="I72" s="2" t="s">
        <v>883</v>
      </c>
      <c r="J72" s="2" t="s">
        <v>3840</v>
      </c>
      <c r="K72" s="6">
        <v>45138.0</v>
      </c>
      <c r="L72" s="2" t="s">
        <v>5720</v>
      </c>
    </row>
    <row r="73">
      <c r="A73" s="2" t="s">
        <v>5721</v>
      </c>
      <c r="B73" s="2" t="s">
        <v>5722</v>
      </c>
      <c r="C73" s="2" t="s">
        <v>14</v>
      </c>
      <c r="D73" s="2" t="s">
        <v>15</v>
      </c>
      <c r="E73" s="2" t="s">
        <v>23</v>
      </c>
      <c r="F73" s="2">
        <v>5.493812144991E12</v>
      </c>
      <c r="G73" s="2" t="s">
        <v>5723</v>
      </c>
      <c r="H73" s="2" t="s">
        <v>55</v>
      </c>
      <c r="I73" s="2" t="s">
        <v>56</v>
      </c>
      <c r="J73" s="2" t="s">
        <v>56</v>
      </c>
      <c r="K73" s="6">
        <v>45134.0</v>
      </c>
      <c r="L73" s="2" t="s">
        <v>5724</v>
      </c>
    </row>
    <row r="74">
      <c r="A74" s="2" t="s">
        <v>5725</v>
      </c>
      <c r="B74" s="2" t="s">
        <v>5726</v>
      </c>
      <c r="C74" s="2" t="s">
        <v>14</v>
      </c>
      <c r="D74" s="2" t="s">
        <v>15</v>
      </c>
      <c r="E74" s="2" t="s">
        <v>23</v>
      </c>
      <c r="F74" s="2">
        <v>5.493815544369E12</v>
      </c>
      <c r="G74" s="2" t="s">
        <v>5727</v>
      </c>
      <c r="H74" s="2" t="s">
        <v>55</v>
      </c>
      <c r="I74" s="2" t="s">
        <v>883</v>
      </c>
      <c r="J74" s="2" t="s">
        <v>3840</v>
      </c>
      <c r="K74" s="6">
        <v>45133.0</v>
      </c>
      <c r="L74" s="2" t="s">
        <v>5728</v>
      </c>
    </row>
    <row r="75">
      <c r="A75" s="2" t="s">
        <v>5729</v>
      </c>
      <c r="B75" s="2" t="s">
        <v>5730</v>
      </c>
      <c r="C75" s="2" t="s">
        <v>533</v>
      </c>
      <c r="D75" s="2" t="s">
        <v>15</v>
      </c>
      <c r="E75" s="2" t="s">
        <v>23</v>
      </c>
      <c r="F75" s="2">
        <v>5.493815941442E12</v>
      </c>
      <c r="G75" s="2" t="s">
        <v>5731</v>
      </c>
      <c r="H75" s="2" t="s">
        <v>55</v>
      </c>
      <c r="I75" s="2" t="s">
        <v>883</v>
      </c>
      <c r="J75" s="2" t="s">
        <v>5674</v>
      </c>
      <c r="K75" s="6">
        <v>45128.0</v>
      </c>
      <c r="L75" s="2" t="s">
        <v>5732</v>
      </c>
    </row>
    <row r="76">
      <c r="A76" s="2" t="s">
        <v>5733</v>
      </c>
      <c r="B76" s="2" t="s">
        <v>5734</v>
      </c>
      <c r="C76" s="2" t="s">
        <v>14</v>
      </c>
      <c r="D76" s="2" t="s">
        <v>15</v>
      </c>
      <c r="E76" s="2" t="s">
        <v>23</v>
      </c>
      <c r="F76" s="2">
        <v>5.493814157406E12</v>
      </c>
      <c r="G76" s="2" t="s">
        <v>5735</v>
      </c>
      <c r="H76" s="2" t="s">
        <v>55</v>
      </c>
      <c r="I76" s="2" t="s">
        <v>883</v>
      </c>
      <c r="J76" s="2" t="s">
        <v>611</v>
      </c>
      <c r="K76" s="6">
        <v>45126.0</v>
      </c>
      <c r="L76" s="2" t="s">
        <v>5736</v>
      </c>
    </row>
    <row r="77">
      <c r="A77" s="2" t="s">
        <v>5737</v>
      </c>
      <c r="B77" s="2" t="s">
        <v>5738</v>
      </c>
      <c r="C77" s="2" t="s">
        <v>14</v>
      </c>
      <c r="D77" s="2" t="s">
        <v>15</v>
      </c>
      <c r="E77" s="2" t="s">
        <v>23</v>
      </c>
      <c r="F77" s="2">
        <v>5.49381548485E12</v>
      </c>
      <c r="G77" s="2" t="s">
        <v>5739</v>
      </c>
      <c r="H77" s="2" t="s">
        <v>55</v>
      </c>
      <c r="I77" s="2" t="s">
        <v>883</v>
      </c>
      <c r="J77" s="2" t="s">
        <v>611</v>
      </c>
      <c r="K77" s="6">
        <v>43550.0</v>
      </c>
      <c r="L77" s="2" t="s">
        <v>5740</v>
      </c>
    </row>
    <row r="78">
      <c r="A78" s="2" t="s">
        <v>5741</v>
      </c>
      <c r="B78" s="2" t="s">
        <v>5742</v>
      </c>
      <c r="C78" s="2" t="s">
        <v>14</v>
      </c>
      <c r="D78" s="2" t="s">
        <v>15</v>
      </c>
      <c r="E78" s="2" t="s">
        <v>23</v>
      </c>
      <c r="F78" s="2">
        <v>5.493815658959E12</v>
      </c>
      <c r="G78" s="2" t="s">
        <v>5743</v>
      </c>
      <c r="H78" s="2" t="s">
        <v>55</v>
      </c>
      <c r="I78" s="2" t="s">
        <v>883</v>
      </c>
      <c r="J78" s="2" t="s">
        <v>688</v>
      </c>
      <c r="K78" s="6">
        <v>42887.0</v>
      </c>
      <c r="L78" s="2" t="s">
        <v>5744</v>
      </c>
    </row>
    <row r="79">
      <c r="A79" s="2" t="s">
        <v>5745</v>
      </c>
      <c r="B79" s="2" t="s">
        <v>5746</v>
      </c>
      <c r="C79" s="2" t="s">
        <v>14</v>
      </c>
      <c r="D79" s="2" t="s">
        <v>15</v>
      </c>
      <c r="E79" s="2" t="s">
        <v>23</v>
      </c>
      <c r="F79" s="2">
        <v>5.493816985475E12</v>
      </c>
      <c r="G79" s="2" t="s">
        <v>5747</v>
      </c>
      <c r="H79" s="2" t="s">
        <v>55</v>
      </c>
      <c r="I79" s="2" t="s">
        <v>883</v>
      </c>
      <c r="J79" s="2" t="s">
        <v>2400</v>
      </c>
      <c r="K79" s="6">
        <v>45182.0</v>
      </c>
      <c r="L79" s="2" t="s">
        <v>5748</v>
      </c>
    </row>
    <row r="80">
      <c r="A80" s="2" t="s">
        <v>5749</v>
      </c>
      <c r="B80" s="2" t="s">
        <v>5750</v>
      </c>
      <c r="C80" s="2" t="s">
        <v>831</v>
      </c>
      <c r="D80" s="2" t="s">
        <v>15</v>
      </c>
      <c r="E80" s="2" t="s">
        <v>23</v>
      </c>
      <c r="F80" s="2">
        <v>5.493816553468E12</v>
      </c>
      <c r="G80" s="2" t="s">
        <v>5751</v>
      </c>
      <c r="H80" s="2" t="s">
        <v>55</v>
      </c>
      <c r="I80" s="2" t="s">
        <v>883</v>
      </c>
      <c r="J80" s="2" t="s">
        <v>1484</v>
      </c>
      <c r="K80" s="6">
        <v>45172.0</v>
      </c>
      <c r="L80" s="2" t="s">
        <v>5752</v>
      </c>
    </row>
    <row r="81">
      <c r="A81" s="2" t="s">
        <v>5753</v>
      </c>
      <c r="B81" s="2" t="s">
        <v>5754</v>
      </c>
      <c r="C81" s="2" t="s">
        <v>14</v>
      </c>
      <c r="D81" s="2" t="s">
        <v>15</v>
      </c>
      <c r="E81" s="2" t="s">
        <v>23</v>
      </c>
      <c r="F81" s="2">
        <v>5.493813841739E12</v>
      </c>
      <c r="G81" s="2" t="s">
        <v>5755</v>
      </c>
      <c r="H81" s="2" t="s">
        <v>55</v>
      </c>
      <c r="I81" s="2" t="s">
        <v>883</v>
      </c>
      <c r="J81" s="2" t="s">
        <v>1579</v>
      </c>
      <c r="K81" s="6">
        <v>45169.0</v>
      </c>
      <c r="L81" s="2" t="s">
        <v>5756</v>
      </c>
    </row>
    <row r="82">
      <c r="A82" s="2" t="s">
        <v>5757</v>
      </c>
      <c r="B82" s="2" t="s">
        <v>5758</v>
      </c>
      <c r="C82" s="2" t="s">
        <v>14</v>
      </c>
      <c r="D82" s="2" t="s">
        <v>15</v>
      </c>
      <c r="E82" s="2" t="s">
        <v>23</v>
      </c>
      <c r="F82" s="2">
        <v>5.49381412699E12</v>
      </c>
      <c r="G82" s="2" t="s">
        <v>5759</v>
      </c>
      <c r="H82" s="2" t="s">
        <v>55</v>
      </c>
      <c r="I82" s="2" t="s">
        <v>883</v>
      </c>
      <c r="J82" s="2" t="s">
        <v>1484</v>
      </c>
      <c r="K82" s="6">
        <v>45168.0</v>
      </c>
      <c r="L82" s="2" t="s">
        <v>5760</v>
      </c>
    </row>
    <row r="83">
      <c r="A83" s="2" t="s">
        <v>5761</v>
      </c>
      <c r="B83" s="2" t="s">
        <v>5762</v>
      </c>
      <c r="C83" s="2" t="s">
        <v>14</v>
      </c>
      <c r="D83" s="2" t="s">
        <v>15</v>
      </c>
      <c r="E83" s="2" t="s">
        <v>16</v>
      </c>
      <c r="F83" s="2">
        <v>5.493816862718E12</v>
      </c>
      <c r="G83" s="2" t="s">
        <v>5763</v>
      </c>
      <c r="H83" s="2" t="s">
        <v>55</v>
      </c>
      <c r="I83" s="2" t="s">
        <v>883</v>
      </c>
      <c r="J83" s="2" t="s">
        <v>1948</v>
      </c>
      <c r="K83" s="6">
        <v>45167.0</v>
      </c>
      <c r="L83" s="2" t="s">
        <v>5764</v>
      </c>
    </row>
    <row r="84">
      <c r="A84" s="2" t="s">
        <v>5765</v>
      </c>
      <c r="B84" s="2" t="s">
        <v>5766</v>
      </c>
      <c r="C84" s="2" t="s">
        <v>14</v>
      </c>
      <c r="D84" s="2" t="s">
        <v>15</v>
      </c>
      <c r="E84" s="2" t="s">
        <v>23</v>
      </c>
      <c r="F84" s="2">
        <v>5.493814069022E12</v>
      </c>
      <c r="G84" s="2" t="s">
        <v>5767</v>
      </c>
      <c r="H84" s="2" t="s">
        <v>55</v>
      </c>
      <c r="I84" s="2" t="s">
        <v>883</v>
      </c>
      <c r="J84" s="2" t="s">
        <v>1948</v>
      </c>
      <c r="K84" s="6">
        <v>45166.0</v>
      </c>
      <c r="L84" s="2" t="s">
        <v>5768</v>
      </c>
    </row>
    <row r="85">
      <c r="A85" s="2" t="s">
        <v>5769</v>
      </c>
      <c r="B85" s="2" t="s">
        <v>5770</v>
      </c>
      <c r="C85" s="2" t="s">
        <v>14</v>
      </c>
      <c r="D85" s="2" t="s">
        <v>15</v>
      </c>
      <c r="E85" s="2" t="s">
        <v>16</v>
      </c>
      <c r="F85" s="2">
        <v>5.49381318112E12</v>
      </c>
      <c r="G85" s="2" t="s">
        <v>5771</v>
      </c>
      <c r="H85" s="2" t="s">
        <v>55</v>
      </c>
      <c r="I85" s="2" t="s">
        <v>883</v>
      </c>
      <c r="J85" s="2" t="s">
        <v>884</v>
      </c>
      <c r="K85" s="6">
        <v>45163.0</v>
      </c>
      <c r="L85" s="2" t="s">
        <v>5772</v>
      </c>
    </row>
    <row r="86">
      <c r="A86" s="2" t="s">
        <v>5773</v>
      </c>
      <c r="B86" s="2" t="s">
        <v>5774</v>
      </c>
      <c r="C86" s="2" t="s">
        <v>14</v>
      </c>
      <c r="D86" s="2" t="s">
        <v>15</v>
      </c>
      <c r="E86" s="2" t="s">
        <v>16</v>
      </c>
      <c r="F86" s="2">
        <v>5.493812311655E12</v>
      </c>
      <c r="G86" s="2" t="s">
        <v>5775</v>
      </c>
      <c r="H86" s="2" t="s">
        <v>55</v>
      </c>
      <c r="I86" s="2" t="s">
        <v>883</v>
      </c>
      <c r="J86" s="2" t="s">
        <v>611</v>
      </c>
      <c r="K86" s="6">
        <v>45163.0</v>
      </c>
      <c r="L86" s="2" t="s">
        <v>5776</v>
      </c>
    </row>
    <row r="87">
      <c r="A87" s="2" t="s">
        <v>5777</v>
      </c>
      <c r="B87" s="2" t="s">
        <v>5778</v>
      </c>
      <c r="C87" s="2" t="s">
        <v>14</v>
      </c>
      <c r="D87" s="2" t="s">
        <v>15</v>
      </c>
      <c r="E87" s="2" t="s">
        <v>23</v>
      </c>
      <c r="F87" s="2">
        <v>5.493816919744E12</v>
      </c>
      <c r="G87" s="2" t="s">
        <v>5779</v>
      </c>
      <c r="H87" s="2" t="s">
        <v>55</v>
      </c>
      <c r="I87" s="2" t="s">
        <v>883</v>
      </c>
      <c r="J87" s="2" t="s">
        <v>884</v>
      </c>
      <c r="K87" s="6">
        <v>45162.0</v>
      </c>
      <c r="L87" s="2" t="s">
        <v>5780</v>
      </c>
    </row>
    <row r="88">
      <c r="A88" s="2" t="s">
        <v>5781</v>
      </c>
      <c r="B88" s="2" t="s">
        <v>5782</v>
      </c>
      <c r="C88" s="2" t="s">
        <v>14</v>
      </c>
      <c r="D88" s="2" t="s">
        <v>15</v>
      </c>
      <c r="E88" s="2" t="s">
        <v>23</v>
      </c>
      <c r="F88" s="2">
        <v>5.493815908745E12</v>
      </c>
      <c r="G88" s="2" t="s">
        <v>5783</v>
      </c>
      <c r="H88" s="2" t="s">
        <v>55</v>
      </c>
      <c r="I88" s="2" t="s">
        <v>56</v>
      </c>
      <c r="J88" s="2" t="s">
        <v>56</v>
      </c>
      <c r="K88" s="6">
        <v>45161.0</v>
      </c>
      <c r="L88" s="2" t="s">
        <v>5784</v>
      </c>
    </row>
    <row r="89">
      <c r="A89" s="2" t="s">
        <v>5785</v>
      </c>
      <c r="B89" s="2" t="s">
        <v>5786</v>
      </c>
      <c r="C89" s="2" t="s">
        <v>14</v>
      </c>
      <c r="D89" s="2" t="s">
        <v>15</v>
      </c>
      <c r="E89" s="2" t="s">
        <v>23</v>
      </c>
      <c r="F89" s="2">
        <v>5.43815508626E11</v>
      </c>
      <c r="G89" s="2" t="s">
        <v>5787</v>
      </c>
      <c r="H89" s="2" t="s">
        <v>55</v>
      </c>
      <c r="I89" s="2" t="s">
        <v>883</v>
      </c>
      <c r="J89" s="2" t="s">
        <v>688</v>
      </c>
      <c r="K89" s="6">
        <v>45160.0</v>
      </c>
      <c r="L89" s="2" t="s">
        <v>5788</v>
      </c>
    </row>
    <row r="90">
      <c r="A90" s="2" t="s">
        <v>5789</v>
      </c>
      <c r="B90" s="2" t="s">
        <v>5790</v>
      </c>
      <c r="C90" s="2" t="s">
        <v>14</v>
      </c>
      <c r="D90" s="2" t="s">
        <v>15</v>
      </c>
      <c r="E90" s="2" t="s">
        <v>23</v>
      </c>
      <c r="F90" s="2">
        <v>5.493814048108E12</v>
      </c>
      <c r="G90" s="2" t="s">
        <v>5791</v>
      </c>
      <c r="H90" s="2" t="s">
        <v>55</v>
      </c>
      <c r="I90" s="2" t="s">
        <v>883</v>
      </c>
      <c r="J90" s="2" t="s">
        <v>2400</v>
      </c>
      <c r="K90" s="6">
        <v>45156.0</v>
      </c>
      <c r="L90" s="2" t="s">
        <v>5792</v>
      </c>
    </row>
    <row r="91">
      <c r="A91" s="2" t="s">
        <v>5793</v>
      </c>
      <c r="B91" s="2" t="s">
        <v>5794</v>
      </c>
      <c r="C91" s="2" t="s">
        <v>14</v>
      </c>
      <c r="D91" s="2" t="s">
        <v>15</v>
      </c>
      <c r="E91" s="2" t="s">
        <v>16</v>
      </c>
      <c r="F91" s="2">
        <v>5.493814698139E12</v>
      </c>
      <c r="G91" s="2" t="s">
        <v>5795</v>
      </c>
      <c r="H91" s="2" t="s">
        <v>55</v>
      </c>
      <c r="I91" s="2" t="s">
        <v>883</v>
      </c>
      <c r="J91" s="2" t="s">
        <v>1948</v>
      </c>
      <c r="K91" s="6">
        <v>45184.0</v>
      </c>
      <c r="L91" s="2" t="s">
        <v>5796</v>
      </c>
    </row>
    <row r="92">
      <c r="A92" s="2" t="s">
        <v>5797</v>
      </c>
      <c r="B92" s="2" t="s">
        <v>5798</v>
      </c>
      <c r="C92" s="2" t="s">
        <v>1150</v>
      </c>
      <c r="D92" s="2" t="s">
        <v>15</v>
      </c>
      <c r="E92" s="2" t="s">
        <v>23</v>
      </c>
      <c r="F92" s="2">
        <v>5.491111111111E12</v>
      </c>
      <c r="G92" s="2" t="s">
        <v>5516</v>
      </c>
      <c r="H92" s="2" t="s">
        <v>55</v>
      </c>
      <c r="I92" s="2" t="s">
        <v>883</v>
      </c>
      <c r="J92" s="2" t="s">
        <v>688</v>
      </c>
      <c r="K92" s="6">
        <v>45189.0</v>
      </c>
      <c r="L92" s="2" t="s">
        <v>5799</v>
      </c>
    </row>
    <row r="93">
      <c r="A93" s="2" t="s">
        <v>5800</v>
      </c>
      <c r="B93" s="2" t="s">
        <v>5801</v>
      </c>
      <c r="C93" s="2" t="s">
        <v>1150</v>
      </c>
      <c r="D93" s="2" t="s">
        <v>15</v>
      </c>
      <c r="E93" s="2" t="s">
        <v>23</v>
      </c>
      <c r="F93" s="2">
        <v>5.491111111111E12</v>
      </c>
      <c r="G93" s="2" t="s">
        <v>5644</v>
      </c>
      <c r="H93" s="2" t="s">
        <v>55</v>
      </c>
      <c r="I93" s="2" t="s">
        <v>56</v>
      </c>
      <c r="J93" s="2" t="s">
        <v>56</v>
      </c>
      <c r="K93" s="6">
        <v>45189.0</v>
      </c>
      <c r="L93" s="2" t="s">
        <v>5802</v>
      </c>
    </row>
    <row r="94">
      <c r="A94" s="2" t="s">
        <v>5803</v>
      </c>
      <c r="B94" s="2" t="s">
        <v>5804</v>
      </c>
      <c r="C94" s="2" t="s">
        <v>14</v>
      </c>
      <c r="D94" s="2" t="s">
        <v>15</v>
      </c>
      <c r="E94" s="2" t="s">
        <v>23</v>
      </c>
      <c r="F94" s="2">
        <v>5.493815286562E12</v>
      </c>
      <c r="G94" s="2" t="s">
        <v>5805</v>
      </c>
      <c r="H94" s="2" t="s">
        <v>55</v>
      </c>
      <c r="I94" s="2" t="s">
        <v>883</v>
      </c>
      <c r="J94" s="2" t="s">
        <v>611</v>
      </c>
      <c r="K94" s="6">
        <v>45188.0</v>
      </c>
      <c r="L94" s="2" t="s">
        <v>5806</v>
      </c>
    </row>
    <row r="95">
      <c r="A95" s="2" t="s">
        <v>5807</v>
      </c>
      <c r="B95" s="2" t="s">
        <v>5808</v>
      </c>
      <c r="C95" s="2" t="s">
        <v>1150</v>
      </c>
      <c r="D95" s="2" t="s">
        <v>15</v>
      </c>
      <c r="E95" s="2" t="s">
        <v>23</v>
      </c>
      <c r="F95" s="2">
        <v>5.491111111111E12</v>
      </c>
      <c r="G95" s="2" t="s">
        <v>5809</v>
      </c>
      <c r="H95" s="2" t="s">
        <v>55</v>
      </c>
      <c r="I95" s="2" t="s">
        <v>883</v>
      </c>
      <c r="J95" s="2" t="s">
        <v>1484</v>
      </c>
      <c r="K95" s="6">
        <v>45188.0</v>
      </c>
      <c r="L95" s="2" t="s">
        <v>5810</v>
      </c>
    </row>
    <row r="96">
      <c r="A96" s="2" t="s">
        <v>5811</v>
      </c>
      <c r="B96" s="2" t="s">
        <v>5812</v>
      </c>
      <c r="C96" s="2" t="s">
        <v>185</v>
      </c>
      <c r="D96" s="2" t="s">
        <v>15</v>
      </c>
      <c r="E96" s="2" t="s">
        <v>23</v>
      </c>
      <c r="F96" s="2">
        <v>5.493814353535E12</v>
      </c>
      <c r="G96" s="2" t="s">
        <v>5813</v>
      </c>
      <c r="H96" s="2" t="s">
        <v>55</v>
      </c>
      <c r="I96" s="2" t="s">
        <v>56</v>
      </c>
      <c r="J96" s="2" t="s">
        <v>56</v>
      </c>
      <c r="K96" s="5">
        <v>45210.0</v>
      </c>
      <c r="L96" s="2" t="s">
        <v>5814</v>
      </c>
    </row>
    <row r="97">
      <c r="A97" s="2" t="s">
        <v>5815</v>
      </c>
      <c r="B97" s="2" t="s">
        <v>5816</v>
      </c>
      <c r="C97" s="2" t="s">
        <v>14</v>
      </c>
      <c r="D97" s="2" t="s">
        <v>15</v>
      </c>
      <c r="E97" s="2" t="s">
        <v>23</v>
      </c>
      <c r="F97" s="2">
        <v>5.49381629429E12</v>
      </c>
      <c r="G97" s="2" t="s">
        <v>5817</v>
      </c>
      <c r="H97" s="2" t="s">
        <v>55</v>
      </c>
      <c r="I97" s="2" t="s">
        <v>56</v>
      </c>
      <c r="J97" s="2" t="s">
        <v>56</v>
      </c>
      <c r="K97" s="5">
        <v>45209.0</v>
      </c>
      <c r="L97" s="2" t="s">
        <v>5818</v>
      </c>
    </row>
    <row r="98">
      <c r="A98" s="2" t="s">
        <v>5819</v>
      </c>
      <c r="B98" s="2" t="s">
        <v>5820</v>
      </c>
      <c r="C98" s="2" t="s">
        <v>14</v>
      </c>
      <c r="D98" s="2" t="s">
        <v>15</v>
      </c>
      <c r="E98" s="2" t="s">
        <v>16</v>
      </c>
      <c r="F98" s="2">
        <v>5.493815508142E12</v>
      </c>
      <c r="G98" s="2" t="s">
        <v>5821</v>
      </c>
      <c r="H98" s="2" t="s">
        <v>55</v>
      </c>
      <c r="I98" s="2" t="s">
        <v>883</v>
      </c>
      <c r="J98" s="2" t="s">
        <v>688</v>
      </c>
      <c r="K98" s="5">
        <v>45208.0</v>
      </c>
      <c r="L98" s="2" t="s">
        <v>5822</v>
      </c>
    </row>
    <row r="99">
      <c r="A99" s="2" t="s">
        <v>5823</v>
      </c>
      <c r="B99" s="2" t="s">
        <v>5824</v>
      </c>
      <c r="C99" s="2" t="s">
        <v>14</v>
      </c>
      <c r="D99" s="2" t="s">
        <v>15</v>
      </c>
      <c r="E99" s="2" t="s">
        <v>23</v>
      </c>
      <c r="F99" s="2">
        <v>5.493815901372E12</v>
      </c>
      <c r="G99" s="2" t="s">
        <v>5825</v>
      </c>
      <c r="H99" s="2" t="s">
        <v>55</v>
      </c>
      <c r="I99" s="2" t="s">
        <v>883</v>
      </c>
      <c r="J99" s="2" t="s">
        <v>5826</v>
      </c>
      <c r="K99" s="5">
        <v>45208.0</v>
      </c>
      <c r="L99" s="2" t="s">
        <v>5827</v>
      </c>
    </row>
    <row r="100">
      <c r="A100" s="2" t="s">
        <v>5828</v>
      </c>
      <c r="B100" s="2" t="s">
        <v>5829</v>
      </c>
      <c r="C100" s="2" t="s">
        <v>14</v>
      </c>
      <c r="D100" s="2" t="s">
        <v>15</v>
      </c>
      <c r="E100" s="2" t="s">
        <v>23</v>
      </c>
      <c r="F100" s="2">
        <v>5.493814098491E12</v>
      </c>
      <c r="G100" s="2" t="s">
        <v>5830</v>
      </c>
      <c r="H100" s="2" t="s">
        <v>55</v>
      </c>
      <c r="I100" s="2" t="s">
        <v>883</v>
      </c>
      <c r="J100" s="2" t="s">
        <v>2400</v>
      </c>
      <c r="K100" s="6">
        <v>45199.0</v>
      </c>
      <c r="L100" s="2" t="s">
        <v>5831</v>
      </c>
    </row>
    <row r="101">
      <c r="A101" s="2" t="s">
        <v>5832</v>
      </c>
      <c r="B101" s="2" t="s">
        <v>5833</v>
      </c>
      <c r="C101" s="2" t="s">
        <v>14</v>
      </c>
      <c r="D101" s="2" t="s">
        <v>15</v>
      </c>
      <c r="E101" s="2" t="s">
        <v>23</v>
      </c>
      <c r="F101" s="2">
        <v>5.493816400433E12</v>
      </c>
      <c r="G101" s="2" t="s">
        <v>5834</v>
      </c>
      <c r="H101" s="2" t="s">
        <v>55</v>
      </c>
      <c r="I101" s="2" t="s">
        <v>56</v>
      </c>
      <c r="J101" s="2" t="s">
        <v>56</v>
      </c>
      <c r="K101" s="6">
        <v>45199.0</v>
      </c>
      <c r="L101" s="2" t="s">
        <v>5835</v>
      </c>
    </row>
    <row r="102">
      <c r="A102" s="2" t="s">
        <v>5836</v>
      </c>
      <c r="B102" s="2" t="s">
        <v>5837</v>
      </c>
      <c r="C102" s="2" t="s">
        <v>14</v>
      </c>
      <c r="D102" s="2" t="s">
        <v>15</v>
      </c>
      <c r="E102" s="2" t="s">
        <v>23</v>
      </c>
      <c r="F102" s="2">
        <v>5.493816974165E12</v>
      </c>
      <c r="G102" s="2" t="s">
        <v>5838</v>
      </c>
      <c r="H102" s="2" t="s">
        <v>55</v>
      </c>
      <c r="I102" s="2" t="s">
        <v>883</v>
      </c>
      <c r="J102" s="2" t="s">
        <v>688</v>
      </c>
      <c r="K102" s="6">
        <v>45197.0</v>
      </c>
      <c r="L102" s="2" t="s">
        <v>5839</v>
      </c>
    </row>
    <row r="103">
      <c r="A103" s="2" t="s">
        <v>5840</v>
      </c>
      <c r="B103" s="2" t="s">
        <v>5841</v>
      </c>
      <c r="C103" s="2" t="s">
        <v>14</v>
      </c>
      <c r="D103" s="2" t="s">
        <v>15</v>
      </c>
      <c r="E103" s="2" t="s">
        <v>16</v>
      </c>
      <c r="F103" s="2">
        <v>5.493815205641E12</v>
      </c>
      <c r="G103" s="2" t="s">
        <v>5842</v>
      </c>
      <c r="H103" s="2" t="s">
        <v>55</v>
      </c>
      <c r="I103" s="2" t="s">
        <v>883</v>
      </c>
      <c r="J103" s="2" t="s">
        <v>2400</v>
      </c>
      <c r="K103" s="5">
        <v>45225.0</v>
      </c>
      <c r="L103" s="2" t="s">
        <v>5843</v>
      </c>
    </row>
    <row r="104">
      <c r="A104" s="2" t="s">
        <v>5844</v>
      </c>
      <c r="B104" s="2" t="s">
        <v>5845</v>
      </c>
      <c r="C104" s="2" t="s">
        <v>14</v>
      </c>
      <c r="D104" s="2" t="s">
        <v>15</v>
      </c>
      <c r="E104" s="2" t="s">
        <v>23</v>
      </c>
      <c r="F104" s="2">
        <v>5.493815342544E12</v>
      </c>
      <c r="G104" s="2" t="s">
        <v>5846</v>
      </c>
      <c r="H104" s="2" t="s">
        <v>55</v>
      </c>
      <c r="I104" s="2" t="s">
        <v>883</v>
      </c>
      <c r="J104" s="2" t="s">
        <v>1864</v>
      </c>
      <c r="K104" s="5">
        <v>45217.0</v>
      </c>
      <c r="L104" s="2" t="s">
        <v>5847</v>
      </c>
    </row>
    <row r="105">
      <c r="A105" s="2" t="s">
        <v>5848</v>
      </c>
      <c r="B105" s="2" t="s">
        <v>5849</v>
      </c>
      <c r="C105" s="2" t="s">
        <v>14</v>
      </c>
      <c r="D105" s="2" t="s">
        <v>15</v>
      </c>
      <c r="E105" s="2" t="s">
        <v>16</v>
      </c>
      <c r="F105" s="2">
        <v>5.493815583566E12</v>
      </c>
      <c r="G105" s="2" t="s">
        <v>5850</v>
      </c>
      <c r="H105" s="2" t="s">
        <v>55</v>
      </c>
      <c r="I105" s="2" t="s">
        <v>883</v>
      </c>
      <c r="J105" s="2" t="s">
        <v>1037</v>
      </c>
      <c r="K105" s="5">
        <v>45247.0</v>
      </c>
      <c r="L105" s="2" t="s">
        <v>5851</v>
      </c>
    </row>
    <row r="106">
      <c r="A106" s="2" t="s">
        <v>5852</v>
      </c>
      <c r="B106" s="2" t="s">
        <v>5853</v>
      </c>
      <c r="C106" s="2" t="s">
        <v>14</v>
      </c>
      <c r="D106" s="2" t="s">
        <v>15</v>
      </c>
      <c r="E106" s="2" t="s">
        <v>23</v>
      </c>
      <c r="F106" s="2">
        <v>5.493815788814E12</v>
      </c>
      <c r="G106" s="2" t="s">
        <v>5854</v>
      </c>
      <c r="H106" s="2" t="s">
        <v>55</v>
      </c>
      <c r="I106" s="2" t="s">
        <v>883</v>
      </c>
      <c r="J106" s="2" t="s">
        <v>5512</v>
      </c>
      <c r="K106" s="5">
        <v>45246.0</v>
      </c>
      <c r="L106" s="2" t="s">
        <v>5855</v>
      </c>
    </row>
    <row r="107">
      <c r="A107" s="2" t="s">
        <v>5856</v>
      </c>
      <c r="B107" s="2" t="s">
        <v>5857</v>
      </c>
      <c r="C107" s="2" t="s">
        <v>14</v>
      </c>
      <c r="D107" s="2" t="s">
        <v>15</v>
      </c>
      <c r="E107" s="2" t="s">
        <v>23</v>
      </c>
      <c r="F107" s="2">
        <v>5.493813006276E12</v>
      </c>
      <c r="G107" s="2" t="s">
        <v>5858</v>
      </c>
      <c r="H107" s="2" t="s">
        <v>55</v>
      </c>
      <c r="I107" s="2" t="s">
        <v>883</v>
      </c>
      <c r="J107" s="2" t="s">
        <v>1579</v>
      </c>
      <c r="K107" s="5">
        <v>45246.0</v>
      </c>
      <c r="L107" s="2" t="s">
        <v>5859</v>
      </c>
    </row>
    <row r="108">
      <c r="A108" s="2" t="s">
        <v>5860</v>
      </c>
      <c r="B108" s="2" t="s">
        <v>5861</v>
      </c>
      <c r="C108" s="2" t="s">
        <v>14</v>
      </c>
      <c r="D108" s="2" t="s">
        <v>15</v>
      </c>
      <c r="E108" s="2" t="s">
        <v>16</v>
      </c>
      <c r="F108" s="2">
        <v>5.493815769628E12</v>
      </c>
      <c r="G108" s="2" t="s">
        <v>5862</v>
      </c>
      <c r="H108" s="2" t="s">
        <v>55</v>
      </c>
      <c r="I108" s="2" t="s">
        <v>883</v>
      </c>
      <c r="J108" s="2" t="s">
        <v>2459</v>
      </c>
      <c r="K108" s="5">
        <v>45245.0</v>
      </c>
      <c r="L108" s="2" t="s">
        <v>5863</v>
      </c>
    </row>
    <row r="109">
      <c r="A109" s="2" t="s">
        <v>5864</v>
      </c>
      <c r="B109" s="2" t="s">
        <v>5865</v>
      </c>
      <c r="C109" s="2" t="s">
        <v>14</v>
      </c>
      <c r="D109" s="2" t="s">
        <v>15</v>
      </c>
      <c r="E109" s="2" t="s">
        <v>23</v>
      </c>
      <c r="F109" s="2">
        <v>5.493812071027E12</v>
      </c>
      <c r="G109" s="2" t="s">
        <v>5866</v>
      </c>
      <c r="H109" s="2" t="s">
        <v>55</v>
      </c>
      <c r="I109" s="2" t="s">
        <v>883</v>
      </c>
      <c r="J109" s="2" t="s">
        <v>5674</v>
      </c>
      <c r="K109" s="5">
        <v>45245.0</v>
      </c>
      <c r="L109" s="2" t="s">
        <v>5867</v>
      </c>
    </row>
    <row r="110">
      <c r="A110" s="2" t="s">
        <v>5868</v>
      </c>
      <c r="B110" s="2" t="s">
        <v>5869</v>
      </c>
      <c r="C110" s="2" t="s">
        <v>14</v>
      </c>
      <c r="D110" s="2" t="s">
        <v>15</v>
      </c>
      <c r="E110" s="2" t="s">
        <v>23</v>
      </c>
      <c r="F110" s="2">
        <v>5.493816341785E12</v>
      </c>
      <c r="G110" s="2" t="s">
        <v>5870</v>
      </c>
      <c r="H110" s="2" t="s">
        <v>55</v>
      </c>
      <c r="I110" s="2" t="s">
        <v>56</v>
      </c>
      <c r="J110" s="2" t="s">
        <v>56</v>
      </c>
      <c r="K110" s="5">
        <v>45245.0</v>
      </c>
      <c r="L110" s="2" t="s">
        <v>5871</v>
      </c>
    </row>
    <row r="111">
      <c r="A111" s="2" t="s">
        <v>5872</v>
      </c>
      <c r="B111" s="2" t="s">
        <v>5873</v>
      </c>
      <c r="C111" s="2" t="s">
        <v>14</v>
      </c>
      <c r="D111" s="2" t="s">
        <v>15</v>
      </c>
      <c r="E111" s="2" t="s">
        <v>23</v>
      </c>
      <c r="F111" s="2">
        <v>5.493816341785E12</v>
      </c>
      <c r="G111" s="2" t="s">
        <v>5874</v>
      </c>
      <c r="H111" s="2" t="s">
        <v>55</v>
      </c>
      <c r="I111" s="2" t="s">
        <v>883</v>
      </c>
      <c r="J111" s="2" t="s">
        <v>2459</v>
      </c>
      <c r="K111" s="5">
        <v>45245.0</v>
      </c>
      <c r="L111" s="2" t="s">
        <v>5875</v>
      </c>
    </row>
    <row r="112">
      <c r="A112" s="2" t="s">
        <v>5876</v>
      </c>
      <c r="B112" s="2" t="s">
        <v>5877</v>
      </c>
      <c r="C112" s="2" t="s">
        <v>14</v>
      </c>
      <c r="D112" s="2" t="s">
        <v>15</v>
      </c>
      <c r="E112" s="2" t="s">
        <v>23</v>
      </c>
      <c r="F112" s="2">
        <v>5.493813543352E12</v>
      </c>
      <c r="G112" s="2" t="s">
        <v>5878</v>
      </c>
      <c r="H112" s="2" t="s">
        <v>55</v>
      </c>
      <c r="I112" s="2" t="s">
        <v>883</v>
      </c>
      <c r="J112" s="2" t="s">
        <v>688</v>
      </c>
      <c r="K112" s="6">
        <v>45324.0</v>
      </c>
      <c r="L112" s="2" t="s">
        <v>5879</v>
      </c>
    </row>
    <row r="113">
      <c r="A113" s="2" t="s">
        <v>5880</v>
      </c>
      <c r="B113" s="2" t="s">
        <v>5881</v>
      </c>
      <c r="C113" s="2" t="s">
        <v>14</v>
      </c>
      <c r="D113" s="2" t="s">
        <v>15</v>
      </c>
      <c r="E113" s="2" t="s">
        <v>23</v>
      </c>
      <c r="F113" s="2">
        <v>5.49381621641E12</v>
      </c>
      <c r="G113" s="2" t="s">
        <v>5882</v>
      </c>
      <c r="H113" s="2" t="s">
        <v>55</v>
      </c>
      <c r="I113" s="2" t="s">
        <v>883</v>
      </c>
      <c r="J113" s="2" t="s">
        <v>2400</v>
      </c>
      <c r="K113" s="6">
        <v>45321.0</v>
      </c>
      <c r="L113" s="2" t="s">
        <v>5883</v>
      </c>
    </row>
    <row r="114">
      <c r="A114" s="2" t="s">
        <v>5884</v>
      </c>
      <c r="B114" s="2" t="s">
        <v>5885</v>
      </c>
      <c r="C114" s="2" t="s">
        <v>14</v>
      </c>
      <c r="D114" s="2" t="s">
        <v>15</v>
      </c>
      <c r="E114" s="2" t="s">
        <v>23</v>
      </c>
      <c r="F114" s="2">
        <v>5.493814129878E12</v>
      </c>
      <c r="G114" s="2" t="s">
        <v>5886</v>
      </c>
      <c r="H114" s="2" t="s">
        <v>55</v>
      </c>
      <c r="I114" s="2" t="s">
        <v>883</v>
      </c>
      <c r="J114" s="2" t="s">
        <v>611</v>
      </c>
      <c r="K114" s="6">
        <v>45314.0</v>
      </c>
      <c r="L114" s="2" t="s">
        <v>5887</v>
      </c>
    </row>
  </sheetData>
  <autoFilter ref="$A$1:$L$1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12" max="14" width="40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5888</v>
      </c>
      <c r="N1" s="2" t="s">
        <v>5889</v>
      </c>
    </row>
    <row r="2">
      <c r="A2" s="2" t="s">
        <v>5890</v>
      </c>
      <c r="B2" s="2" t="s">
        <v>5891</v>
      </c>
      <c r="C2" s="2" t="s">
        <v>14</v>
      </c>
      <c r="D2" s="2" t="s">
        <v>15</v>
      </c>
      <c r="E2" s="2" t="s">
        <v>16</v>
      </c>
      <c r="F2" s="3">
        <f>+5491133253108</f>
        <v>5491133253108</v>
      </c>
      <c r="G2" s="2" t="s">
        <v>5892</v>
      </c>
      <c r="H2" s="2" t="s">
        <v>32</v>
      </c>
      <c r="I2" s="2" t="s">
        <v>25</v>
      </c>
      <c r="J2" s="2" t="s">
        <v>213</v>
      </c>
      <c r="K2" s="6">
        <v>41091.0</v>
      </c>
      <c r="L2" s="2" t="s">
        <v>5893</v>
      </c>
      <c r="M2" s="2"/>
      <c r="N2" s="2"/>
    </row>
    <row r="3">
      <c r="A3" s="2" t="s">
        <v>5894</v>
      </c>
      <c r="B3" s="2" t="s">
        <v>5895</v>
      </c>
      <c r="C3" s="2" t="s">
        <v>14</v>
      </c>
      <c r="D3" s="2" t="s">
        <v>15</v>
      </c>
      <c r="E3" s="2" t="s">
        <v>23</v>
      </c>
      <c r="F3" s="3">
        <f>+541161395769</f>
        <v>541161395769</v>
      </c>
      <c r="G3" s="2" t="s">
        <v>5896</v>
      </c>
      <c r="H3" s="2" t="s">
        <v>25</v>
      </c>
      <c r="I3" s="2" t="s">
        <v>84</v>
      </c>
      <c r="J3" s="2" t="s">
        <v>2369</v>
      </c>
      <c r="K3" s="5">
        <v>41218.0</v>
      </c>
      <c r="L3" s="2" t="s">
        <v>5897</v>
      </c>
      <c r="M3" s="2"/>
      <c r="N3" s="2"/>
    </row>
    <row r="4">
      <c r="A4" s="2" t="s">
        <v>5898</v>
      </c>
      <c r="B4" s="2" t="s">
        <v>5899</v>
      </c>
      <c r="C4" s="2" t="s">
        <v>14</v>
      </c>
      <c r="D4" s="2" t="s">
        <v>15</v>
      </c>
      <c r="E4" s="2" t="s">
        <v>16</v>
      </c>
      <c r="F4" s="3">
        <f>+5491139071781</f>
        <v>5491139071781</v>
      </c>
      <c r="G4" s="2" t="s">
        <v>5900</v>
      </c>
      <c r="H4" s="2" t="s">
        <v>25</v>
      </c>
      <c r="I4" s="2" t="s">
        <v>84</v>
      </c>
      <c r="J4" s="2" t="s">
        <v>85</v>
      </c>
      <c r="K4" s="5">
        <v>41230.0</v>
      </c>
      <c r="L4" s="2" t="s">
        <v>5901</v>
      </c>
      <c r="M4" s="2"/>
      <c r="N4" s="2"/>
    </row>
    <row r="5">
      <c r="A5" s="2" t="s">
        <v>5902</v>
      </c>
      <c r="B5" s="2" t="s">
        <v>5903</v>
      </c>
      <c r="C5" s="2" t="s">
        <v>14</v>
      </c>
      <c r="D5" s="2" t="s">
        <v>15</v>
      </c>
      <c r="E5" s="2" t="s">
        <v>23</v>
      </c>
      <c r="F5" s="3">
        <f>+5491166197480</f>
        <v>5491166197480</v>
      </c>
      <c r="G5" s="2" t="s">
        <v>5904</v>
      </c>
      <c r="H5" s="2" t="s">
        <v>32</v>
      </c>
      <c r="I5" s="2" t="s">
        <v>25</v>
      </c>
      <c r="J5" s="2" t="s">
        <v>594</v>
      </c>
      <c r="K5" s="6">
        <v>44270.0</v>
      </c>
      <c r="L5" s="2" t="s">
        <v>5905</v>
      </c>
      <c r="M5" s="2"/>
      <c r="N5" s="2"/>
    </row>
    <row r="6">
      <c r="A6" s="2" t="s">
        <v>5906</v>
      </c>
      <c r="B6" s="2" t="s">
        <v>5907</v>
      </c>
      <c r="C6" s="2" t="s">
        <v>14</v>
      </c>
      <c r="D6" s="2" t="s">
        <v>15</v>
      </c>
      <c r="E6" s="2" t="s">
        <v>23</v>
      </c>
      <c r="F6" s="3">
        <f>+54223155049576</f>
        <v>54223155049576</v>
      </c>
      <c r="G6" s="2" t="s">
        <v>5908</v>
      </c>
      <c r="H6" s="2" t="s">
        <v>25</v>
      </c>
      <c r="I6" s="2" t="s">
        <v>649</v>
      </c>
      <c r="J6" s="2" t="s">
        <v>5909</v>
      </c>
      <c r="K6" s="6">
        <v>42165.0</v>
      </c>
      <c r="L6" s="2" t="s">
        <v>5910</v>
      </c>
      <c r="M6" s="2"/>
      <c r="N6" s="2"/>
    </row>
    <row r="7">
      <c r="A7" s="2" t="s">
        <v>5911</v>
      </c>
      <c r="B7" s="2" t="s">
        <v>5912</v>
      </c>
      <c r="C7" s="2" t="s">
        <v>14</v>
      </c>
      <c r="D7" s="2" t="s">
        <v>15</v>
      </c>
      <c r="E7" s="2" t="s">
        <v>16</v>
      </c>
      <c r="F7" s="3">
        <f>+5491173739304</f>
        <v>5491173739304</v>
      </c>
      <c r="G7" s="2" t="s">
        <v>5913</v>
      </c>
      <c r="H7" s="2" t="s">
        <v>32</v>
      </c>
      <c r="I7" s="2" t="s">
        <v>25</v>
      </c>
      <c r="J7" s="2" t="s">
        <v>213</v>
      </c>
      <c r="K7" s="5">
        <v>44152.0</v>
      </c>
      <c r="L7" s="2" t="s">
        <v>5914</v>
      </c>
      <c r="M7" s="2"/>
      <c r="N7" s="2"/>
    </row>
    <row r="8">
      <c r="A8" s="2" t="s">
        <v>5915</v>
      </c>
      <c r="B8" s="2" t="s">
        <v>5916</v>
      </c>
      <c r="C8" s="2" t="s">
        <v>14</v>
      </c>
      <c r="D8" s="2" t="s">
        <v>15</v>
      </c>
      <c r="E8" s="2" t="s">
        <v>16</v>
      </c>
      <c r="F8" s="3">
        <f>+54223155049576</f>
        <v>54223155049576</v>
      </c>
      <c r="G8" s="2" t="s">
        <v>5917</v>
      </c>
      <c r="H8" s="2" t="s">
        <v>25</v>
      </c>
      <c r="I8" s="2" t="s">
        <v>649</v>
      </c>
      <c r="J8" s="2" t="s">
        <v>219</v>
      </c>
      <c r="K8" s="6">
        <v>42166.0</v>
      </c>
      <c r="L8" s="2" t="s">
        <v>5918</v>
      </c>
      <c r="M8" s="2"/>
      <c r="N8" s="2"/>
    </row>
    <row r="9">
      <c r="A9" s="2" t="s">
        <v>5919</v>
      </c>
      <c r="B9" s="2" t="s">
        <v>5920</v>
      </c>
      <c r="C9" s="2" t="s">
        <v>14</v>
      </c>
      <c r="D9" s="2" t="s">
        <v>15</v>
      </c>
      <c r="E9" s="2" t="s">
        <v>23</v>
      </c>
      <c r="F9" s="3">
        <f>+5492616657391</f>
        <v>5492616657391</v>
      </c>
      <c r="G9" s="2" t="s">
        <v>5921</v>
      </c>
      <c r="H9" s="2" t="s">
        <v>71</v>
      </c>
      <c r="I9" s="2" t="s">
        <v>71</v>
      </c>
      <c r="J9" s="2" t="s">
        <v>3895</v>
      </c>
      <c r="K9" s="6">
        <v>44825.0</v>
      </c>
      <c r="L9" s="2" t="s">
        <v>5922</v>
      </c>
      <c r="M9" s="2"/>
      <c r="N9" s="2"/>
    </row>
    <row r="10">
      <c r="A10" s="2" t="s">
        <v>5923</v>
      </c>
      <c r="B10" s="2" t="s">
        <v>5924</v>
      </c>
      <c r="C10" s="2" t="s">
        <v>14</v>
      </c>
      <c r="D10" s="2" t="s">
        <v>15</v>
      </c>
      <c r="E10" s="2" t="s">
        <v>16</v>
      </c>
      <c r="F10" s="3">
        <f>+5491149663364</f>
        <v>5491149663364</v>
      </c>
      <c r="G10" s="2" t="s">
        <v>5925</v>
      </c>
      <c r="H10" s="2" t="s">
        <v>25</v>
      </c>
      <c r="I10" s="2" t="s">
        <v>486</v>
      </c>
      <c r="J10" s="2" t="s">
        <v>1934</v>
      </c>
      <c r="K10" s="5">
        <v>44840.0</v>
      </c>
      <c r="L10" s="2" t="s">
        <v>5926</v>
      </c>
      <c r="M10" s="2"/>
      <c r="N10" s="2"/>
    </row>
    <row r="11">
      <c r="A11" s="2" t="s">
        <v>5927</v>
      </c>
      <c r="B11" s="2" t="s">
        <v>5928</v>
      </c>
      <c r="C11" s="2" t="s">
        <v>14</v>
      </c>
      <c r="D11" s="2" t="s">
        <v>15</v>
      </c>
      <c r="E11" s="2" t="s">
        <v>16</v>
      </c>
      <c r="F11" s="3">
        <f>+5491127880621</f>
        <v>5491127880621</v>
      </c>
      <c r="G11" s="2" t="s">
        <v>5929</v>
      </c>
      <c r="H11" s="2" t="s">
        <v>25</v>
      </c>
      <c r="I11" s="2" t="s">
        <v>84</v>
      </c>
      <c r="J11" s="2" t="s">
        <v>85</v>
      </c>
      <c r="K11" s="6">
        <v>42160.0</v>
      </c>
      <c r="L11" s="2" t="s">
        <v>5930</v>
      </c>
      <c r="M11" s="2"/>
      <c r="N11" s="2"/>
    </row>
    <row r="12">
      <c r="A12" s="2" t="s">
        <v>5931</v>
      </c>
      <c r="B12" s="2" t="s">
        <v>5932</v>
      </c>
      <c r="C12" s="2" t="s">
        <v>14</v>
      </c>
      <c r="D12" s="2" t="s">
        <v>15</v>
      </c>
      <c r="E12" s="2" t="s">
        <v>16</v>
      </c>
      <c r="F12" s="3">
        <f>+5492616522020</f>
        <v>5492616522020</v>
      </c>
      <c r="G12" s="2" t="s">
        <v>5933</v>
      </c>
      <c r="H12" s="2" t="s">
        <v>71</v>
      </c>
      <c r="I12" s="2" t="s">
        <v>71</v>
      </c>
      <c r="J12" s="2" t="s">
        <v>5934</v>
      </c>
      <c r="K12" s="6">
        <v>45036.0</v>
      </c>
      <c r="L12" s="2" t="s">
        <v>5935</v>
      </c>
      <c r="M12" s="2"/>
      <c r="N12" s="2"/>
    </row>
    <row r="13">
      <c r="A13" s="2" t="s">
        <v>5936</v>
      </c>
      <c r="B13" s="2" t="s">
        <v>5937</v>
      </c>
      <c r="C13" s="2" t="s">
        <v>14</v>
      </c>
      <c r="D13" s="2" t="s">
        <v>15</v>
      </c>
      <c r="E13" s="2" t="s">
        <v>16</v>
      </c>
      <c r="F13" s="3">
        <f>+5492612526136</f>
        <v>5492612526136</v>
      </c>
      <c r="G13" s="2" t="s">
        <v>5938</v>
      </c>
      <c r="H13" s="2" t="s">
        <v>71</v>
      </c>
      <c r="I13" s="2" t="s">
        <v>71</v>
      </c>
      <c r="J13" s="2" t="s">
        <v>5939</v>
      </c>
      <c r="K13" s="6">
        <v>45143.0</v>
      </c>
      <c r="L13" s="2" t="s">
        <v>5940</v>
      </c>
      <c r="M13" s="2"/>
      <c r="N13" s="2"/>
    </row>
    <row r="14">
      <c r="A14" s="2" t="s">
        <v>5941</v>
      </c>
      <c r="B14" s="2" t="s">
        <v>5942</v>
      </c>
      <c r="C14" s="2" t="s">
        <v>14</v>
      </c>
      <c r="D14" s="2" t="s">
        <v>15</v>
      </c>
      <c r="E14" s="2" t="s">
        <v>16</v>
      </c>
      <c r="F14" s="3">
        <f>+5491150063323</f>
        <v>5491150063323</v>
      </c>
      <c r="G14" s="2" t="s">
        <v>5943</v>
      </c>
      <c r="H14" s="2" t="s">
        <v>25</v>
      </c>
      <c r="I14" s="2" t="s">
        <v>84</v>
      </c>
      <c r="J14" s="2" t="s">
        <v>85</v>
      </c>
      <c r="K14" s="6">
        <v>45195.0</v>
      </c>
      <c r="L14" s="2" t="s">
        <v>5944</v>
      </c>
      <c r="M14" s="2"/>
      <c r="N14" s="2"/>
    </row>
    <row r="15">
      <c r="A15" s="2" t="s">
        <v>5945</v>
      </c>
      <c r="B15" s="2" t="s">
        <v>5946</v>
      </c>
      <c r="C15" s="2" t="s">
        <v>14</v>
      </c>
      <c r="D15" s="2" t="s">
        <v>15</v>
      </c>
      <c r="E15" s="2" t="s">
        <v>23</v>
      </c>
      <c r="F15" s="3">
        <f>+5492616657391</f>
        <v>5492616657391</v>
      </c>
      <c r="G15" s="2" t="s">
        <v>5947</v>
      </c>
      <c r="H15" s="2" t="s">
        <v>71</v>
      </c>
      <c r="I15" s="2" t="s">
        <v>71</v>
      </c>
      <c r="J15" s="2" t="s">
        <v>3895</v>
      </c>
      <c r="K15" s="6">
        <v>45439.0</v>
      </c>
      <c r="L15" s="2" t="s">
        <v>5948</v>
      </c>
      <c r="M15" s="2"/>
      <c r="N15" s="2"/>
    </row>
    <row r="16">
      <c r="A16" s="2" t="s">
        <v>5949</v>
      </c>
      <c r="B16" s="2" t="s">
        <v>5950</v>
      </c>
      <c r="C16" s="2" t="s">
        <v>14</v>
      </c>
      <c r="D16" s="2" t="s">
        <v>15</v>
      </c>
      <c r="E16" s="2" t="s">
        <v>16</v>
      </c>
      <c r="F16" s="3">
        <f>+5491161915881</f>
        <v>5491161915881</v>
      </c>
      <c r="G16" s="2" t="s">
        <v>5951</v>
      </c>
      <c r="H16" s="2" t="s">
        <v>25</v>
      </c>
      <c r="I16" s="2" t="s">
        <v>486</v>
      </c>
      <c r="J16" s="2" t="s">
        <v>486</v>
      </c>
      <c r="K16" s="6">
        <v>45509.0</v>
      </c>
      <c r="L16" s="2" t="s">
        <v>5952</v>
      </c>
      <c r="M16" s="2"/>
      <c r="N16" s="2"/>
    </row>
    <row r="17">
      <c r="A17" s="2" t="s">
        <v>5953</v>
      </c>
      <c r="B17" s="2" t="s">
        <v>5954</v>
      </c>
      <c r="C17" s="2" t="s">
        <v>14</v>
      </c>
      <c r="D17" s="2" t="s">
        <v>15</v>
      </c>
      <c r="E17" s="2" t="s">
        <v>16</v>
      </c>
      <c r="F17" s="3">
        <f>+5491134284977</f>
        <v>5491134284977</v>
      </c>
      <c r="G17" s="2" t="s">
        <v>5955</v>
      </c>
      <c r="H17" s="2" t="s">
        <v>25</v>
      </c>
      <c r="I17" s="2" t="s">
        <v>84</v>
      </c>
      <c r="J17" s="2" t="s">
        <v>85</v>
      </c>
      <c r="K17" s="6">
        <v>45727.0</v>
      </c>
      <c r="L17" s="2" t="s">
        <v>5956</v>
      </c>
      <c r="M17" s="2"/>
      <c r="N17" s="2"/>
    </row>
    <row r="18">
      <c r="A18" s="2" t="s">
        <v>5957</v>
      </c>
      <c r="B18" s="2" t="s">
        <v>5958</v>
      </c>
      <c r="C18" s="2" t="s">
        <v>14</v>
      </c>
      <c r="D18" s="2" t="s">
        <v>15</v>
      </c>
      <c r="E18" s="2" t="s">
        <v>23</v>
      </c>
      <c r="F18" s="3">
        <f>+5492616657391</f>
        <v>5492616657391</v>
      </c>
      <c r="G18" s="2" t="s">
        <v>5959</v>
      </c>
      <c r="H18" s="2" t="s">
        <v>71</v>
      </c>
      <c r="I18" s="2" t="s">
        <v>71</v>
      </c>
      <c r="J18" s="2" t="s">
        <v>1014</v>
      </c>
      <c r="K18" s="5">
        <v>45608.0</v>
      </c>
      <c r="L18" s="2" t="s">
        <v>5960</v>
      </c>
      <c r="M18" s="2"/>
      <c r="N18" s="2"/>
    </row>
    <row r="19">
      <c r="A19" s="2" t="s">
        <v>5961</v>
      </c>
      <c r="B19" s="2" t="s">
        <v>5962</v>
      </c>
      <c r="C19" s="2" t="s">
        <v>14</v>
      </c>
      <c r="D19" s="2" t="s">
        <v>15</v>
      </c>
      <c r="E19" s="2" t="s">
        <v>16</v>
      </c>
      <c r="F19" s="3">
        <f>+5492616944139</f>
        <v>5492616944139</v>
      </c>
      <c r="G19" s="2" t="s">
        <v>5963</v>
      </c>
      <c r="H19" s="2" t="s">
        <v>71</v>
      </c>
      <c r="I19" s="2" t="s">
        <v>71</v>
      </c>
      <c r="J19" s="2" t="s">
        <v>1014</v>
      </c>
      <c r="K19" s="5">
        <v>45594.0</v>
      </c>
      <c r="L19" s="2" t="s">
        <v>5964</v>
      </c>
      <c r="M19" s="2"/>
      <c r="N19" s="2"/>
    </row>
    <row r="20">
      <c r="A20" s="2" t="s">
        <v>5965</v>
      </c>
      <c r="B20" s="2" t="s">
        <v>5966</v>
      </c>
      <c r="C20" s="2" t="s">
        <v>14</v>
      </c>
      <c r="D20" s="2" t="s">
        <v>15</v>
      </c>
      <c r="E20" s="2" t="s">
        <v>16</v>
      </c>
      <c r="F20" s="2" t="s">
        <v>5967</v>
      </c>
      <c r="G20" s="2" t="s">
        <v>5968</v>
      </c>
      <c r="H20" s="2" t="s">
        <v>32</v>
      </c>
      <c r="I20" s="2" t="s">
        <v>25</v>
      </c>
      <c r="J20" s="2" t="s">
        <v>2825</v>
      </c>
      <c r="K20" s="6">
        <v>42891.0</v>
      </c>
      <c r="L20" s="2" t="s">
        <v>5969</v>
      </c>
      <c r="M20" s="2"/>
      <c r="N20" s="2"/>
    </row>
    <row r="21">
      <c r="A21" s="2" t="s">
        <v>5970</v>
      </c>
      <c r="B21" s="2" t="s">
        <v>5971</v>
      </c>
      <c r="C21" s="2" t="s">
        <v>14</v>
      </c>
      <c r="D21" s="2" t="s">
        <v>15</v>
      </c>
      <c r="E21" s="2" t="s">
        <v>16</v>
      </c>
      <c r="F21" s="3">
        <f>+5491126390689</f>
        <v>5491126390689</v>
      </c>
      <c r="G21" s="2" t="s">
        <v>5972</v>
      </c>
      <c r="H21" s="2" t="s">
        <v>32</v>
      </c>
      <c r="I21" s="2" t="s">
        <v>25</v>
      </c>
      <c r="J21" s="2" t="s">
        <v>1037</v>
      </c>
      <c r="K21" s="5">
        <v>45936.0</v>
      </c>
      <c r="L21" s="2" t="s">
        <v>5973</v>
      </c>
      <c r="M21" s="2"/>
      <c r="N21" s="2"/>
    </row>
    <row r="22">
      <c r="A22" s="2" t="s">
        <v>5974</v>
      </c>
      <c r="B22" s="2" t="s">
        <v>5975</v>
      </c>
      <c r="C22" s="2" t="s">
        <v>14</v>
      </c>
      <c r="D22" s="2" t="s">
        <v>15</v>
      </c>
      <c r="E22" s="2" t="s">
        <v>23</v>
      </c>
      <c r="F22" s="3">
        <f>+5491124522317</f>
        <v>5491124522317</v>
      </c>
      <c r="G22" s="2" t="s">
        <v>5976</v>
      </c>
      <c r="H22" s="2" t="s">
        <v>32</v>
      </c>
      <c r="I22" s="2" t="s">
        <v>25</v>
      </c>
      <c r="J22" s="2" t="s">
        <v>266</v>
      </c>
      <c r="K22" s="5">
        <v>45989.0</v>
      </c>
      <c r="L22" s="2" t="s">
        <v>5977</v>
      </c>
      <c r="M22" s="2"/>
      <c r="N22" s="2"/>
    </row>
    <row r="23">
      <c r="A23" s="2" t="s">
        <v>5978</v>
      </c>
      <c r="B23" s="2" t="s">
        <v>5979</v>
      </c>
      <c r="C23" s="2" t="s">
        <v>14</v>
      </c>
      <c r="D23" s="2" t="s">
        <v>15</v>
      </c>
      <c r="E23" s="2" t="s">
        <v>23</v>
      </c>
      <c r="F23" s="3">
        <f>+5493516522128</f>
        <v>5493516522128</v>
      </c>
      <c r="G23" s="2" t="s">
        <v>5980</v>
      </c>
      <c r="H23" s="2" t="s">
        <v>18</v>
      </c>
      <c r="I23" s="2" t="s">
        <v>18</v>
      </c>
      <c r="J23" s="2" t="s">
        <v>2985</v>
      </c>
      <c r="K23" s="6">
        <v>46053.0</v>
      </c>
      <c r="L23" s="2" t="s">
        <v>5981</v>
      </c>
      <c r="M23" s="2"/>
      <c r="N23" s="2"/>
    </row>
    <row r="24">
      <c r="A24" s="2" t="s">
        <v>5982</v>
      </c>
      <c r="B24" s="2" t="s">
        <v>5983</v>
      </c>
      <c r="C24" s="2" t="s">
        <v>14</v>
      </c>
      <c r="D24" s="2" t="s">
        <v>15</v>
      </c>
      <c r="E24" s="2" t="s">
        <v>23</v>
      </c>
      <c r="F24" s="3">
        <f>+5492233489557</f>
        <v>5492233489557</v>
      </c>
      <c r="G24" s="2" t="s">
        <v>5984</v>
      </c>
      <c r="H24" s="2" t="s">
        <v>25</v>
      </c>
      <c r="I24" s="2" t="s">
        <v>649</v>
      </c>
      <c r="J24" s="2" t="s">
        <v>219</v>
      </c>
      <c r="K24" s="6">
        <v>46064.0</v>
      </c>
      <c r="L24" s="2" t="s">
        <v>5985</v>
      </c>
      <c r="M24" s="2"/>
      <c r="N24" s="2"/>
    </row>
    <row r="25">
      <c r="A25" s="2" t="s">
        <v>5986</v>
      </c>
      <c r="B25" s="2" t="s">
        <v>5987</v>
      </c>
      <c r="C25" s="2" t="s">
        <v>14</v>
      </c>
      <c r="D25" s="2" t="s">
        <v>15</v>
      </c>
      <c r="E25" s="2" t="s">
        <v>16</v>
      </c>
      <c r="F25" s="3">
        <f>+5491130022793</f>
        <v>5491130022793</v>
      </c>
      <c r="G25" s="2" t="s">
        <v>5988</v>
      </c>
      <c r="H25" s="2" t="s">
        <v>25</v>
      </c>
      <c r="I25" s="2" t="s">
        <v>486</v>
      </c>
      <c r="J25" s="2" t="s">
        <v>486</v>
      </c>
      <c r="K25" s="6">
        <v>46083.0</v>
      </c>
      <c r="L25" s="2" t="s">
        <v>5989</v>
      </c>
      <c r="M25" s="2"/>
      <c r="N25" s="2"/>
    </row>
    <row r="26">
      <c r="A26" s="7" t="s">
        <v>5990</v>
      </c>
      <c r="B26" s="7" t="s">
        <v>5991</v>
      </c>
      <c r="C26" s="7" t="s">
        <v>14</v>
      </c>
      <c r="D26" s="7" t="s">
        <v>15</v>
      </c>
      <c r="E26" s="7" t="s">
        <v>16</v>
      </c>
      <c r="F26" s="8">
        <f>+542234518866</f>
        <v>542234518866</v>
      </c>
      <c r="G26" s="7" t="s">
        <v>5992</v>
      </c>
      <c r="H26" s="7" t="s">
        <v>25</v>
      </c>
      <c r="I26" s="7" t="s">
        <v>649</v>
      </c>
      <c r="J26" s="7" t="s">
        <v>659</v>
      </c>
      <c r="K26" s="9">
        <v>42522.0</v>
      </c>
      <c r="L26" s="7" t="s">
        <v>5993</v>
      </c>
      <c r="M26" s="7" t="s">
        <v>5994</v>
      </c>
      <c r="N26" s="7" t="s">
        <v>5995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12" max="12" width="28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5996</v>
      </c>
      <c r="B2" s="2" t="s">
        <v>5997</v>
      </c>
      <c r="C2" s="2" t="s">
        <v>14</v>
      </c>
      <c r="D2" s="2" t="s">
        <v>15</v>
      </c>
      <c r="E2" s="2" t="s">
        <v>23</v>
      </c>
      <c r="F2" s="2">
        <v>5.491167550819E12</v>
      </c>
      <c r="G2" s="2" t="s">
        <v>5998</v>
      </c>
      <c r="H2" s="2" t="s">
        <v>25</v>
      </c>
      <c r="I2" s="2" t="s">
        <v>118</v>
      </c>
      <c r="J2" s="2" t="s">
        <v>124</v>
      </c>
      <c r="K2" s="6">
        <v>43949.0</v>
      </c>
      <c r="L2" s="2" t="s">
        <v>5999</v>
      </c>
    </row>
    <row r="3">
      <c r="A3" s="2" t="s">
        <v>6000</v>
      </c>
      <c r="B3" s="2" t="s">
        <v>6001</v>
      </c>
      <c r="C3" s="2" t="s">
        <v>14</v>
      </c>
      <c r="D3" s="2" t="s">
        <v>15</v>
      </c>
      <c r="E3" s="2" t="s">
        <v>16</v>
      </c>
      <c r="F3" s="2">
        <v>5.491154645648E12</v>
      </c>
      <c r="G3" s="2" t="s">
        <v>6002</v>
      </c>
      <c r="H3" s="2" t="s">
        <v>25</v>
      </c>
      <c r="I3" s="2" t="s">
        <v>118</v>
      </c>
      <c r="J3" s="2" t="s">
        <v>124</v>
      </c>
      <c r="K3" s="5">
        <v>43796.0</v>
      </c>
      <c r="L3" s="2" t="s">
        <v>6003</v>
      </c>
    </row>
    <row r="4">
      <c r="A4" s="2" t="s">
        <v>6004</v>
      </c>
      <c r="B4" s="2" t="s">
        <v>6005</v>
      </c>
      <c r="C4" s="2" t="s">
        <v>14</v>
      </c>
      <c r="D4" s="2" t="s">
        <v>15</v>
      </c>
      <c r="E4" s="2" t="s">
        <v>16</v>
      </c>
      <c r="F4" s="2">
        <v>5.492235066993E12</v>
      </c>
      <c r="G4" s="2" t="s">
        <v>6006</v>
      </c>
      <c r="H4" s="2" t="s">
        <v>25</v>
      </c>
      <c r="I4" s="2" t="s">
        <v>649</v>
      </c>
      <c r="J4" s="2" t="s">
        <v>688</v>
      </c>
      <c r="K4" s="6">
        <v>42968.0</v>
      </c>
      <c r="L4" s="2" t="s">
        <v>6007</v>
      </c>
    </row>
    <row r="5">
      <c r="A5" s="2" t="s">
        <v>6008</v>
      </c>
      <c r="B5" s="2" t="s">
        <v>6009</v>
      </c>
      <c r="C5" s="2" t="s">
        <v>14</v>
      </c>
      <c r="D5" s="2" t="s">
        <v>15</v>
      </c>
      <c r="E5" s="2" t="s">
        <v>16</v>
      </c>
      <c r="F5" s="2">
        <v>5.492234516861E12</v>
      </c>
      <c r="G5" s="2" t="s">
        <v>6010</v>
      </c>
      <c r="H5" s="2" t="s">
        <v>25</v>
      </c>
      <c r="I5" s="2" t="s">
        <v>649</v>
      </c>
      <c r="J5" s="2" t="s">
        <v>659</v>
      </c>
      <c r="K5" s="5">
        <v>43804.0</v>
      </c>
      <c r="L5" s="2" t="s">
        <v>6011</v>
      </c>
    </row>
    <row r="6">
      <c r="A6" s="2" t="s">
        <v>6012</v>
      </c>
      <c r="B6" s="2" t="s">
        <v>6013</v>
      </c>
      <c r="C6" s="2" t="s">
        <v>14</v>
      </c>
      <c r="D6" s="2" t="s">
        <v>15</v>
      </c>
      <c r="E6" s="2" t="s">
        <v>16</v>
      </c>
      <c r="F6" s="2">
        <v>5.492234953211E12</v>
      </c>
      <c r="G6" s="2" t="s">
        <v>6014</v>
      </c>
      <c r="H6" s="2" t="s">
        <v>25</v>
      </c>
      <c r="I6" s="2" t="s">
        <v>649</v>
      </c>
      <c r="J6" s="2" t="s">
        <v>6015</v>
      </c>
      <c r="K6" s="6">
        <v>43493.0</v>
      </c>
      <c r="L6" s="2" t="s">
        <v>6016</v>
      </c>
    </row>
    <row r="7">
      <c r="A7" s="2" t="s">
        <v>6017</v>
      </c>
      <c r="B7" s="2" t="s">
        <v>6018</v>
      </c>
      <c r="C7" s="2" t="s">
        <v>14</v>
      </c>
      <c r="D7" s="2" t="s">
        <v>15</v>
      </c>
      <c r="E7" s="2" t="s">
        <v>16</v>
      </c>
      <c r="F7" s="2">
        <v>5.491164027017E12</v>
      </c>
      <c r="G7" s="2" t="s">
        <v>6019</v>
      </c>
      <c r="H7" s="2" t="s">
        <v>25</v>
      </c>
      <c r="I7" s="2" t="s">
        <v>118</v>
      </c>
      <c r="J7" s="2" t="s">
        <v>118</v>
      </c>
      <c r="K7" s="5">
        <v>43452.0</v>
      </c>
      <c r="L7" s="2" t="s">
        <v>6020</v>
      </c>
    </row>
    <row r="8">
      <c r="A8" s="2" t="s">
        <v>6021</v>
      </c>
      <c r="B8" s="2" t="s">
        <v>6022</v>
      </c>
      <c r="C8" s="2" t="s">
        <v>6023</v>
      </c>
      <c r="D8" s="2" t="s">
        <v>15</v>
      </c>
      <c r="E8" s="2" t="s">
        <v>16</v>
      </c>
      <c r="F8" s="2">
        <v>5.4922346749E12</v>
      </c>
      <c r="G8" s="2" t="s">
        <v>6024</v>
      </c>
      <c r="H8" s="2" t="s">
        <v>25</v>
      </c>
      <c r="I8" s="2" t="s">
        <v>649</v>
      </c>
      <c r="J8" s="2" t="s">
        <v>6025</v>
      </c>
      <c r="K8" s="6">
        <v>44294.0</v>
      </c>
      <c r="L8" s="2" t="s">
        <v>6026</v>
      </c>
    </row>
    <row r="9">
      <c r="A9" s="2" t="s">
        <v>6027</v>
      </c>
      <c r="B9" s="2" t="s">
        <v>6028</v>
      </c>
      <c r="C9" s="2" t="s">
        <v>14</v>
      </c>
      <c r="D9" s="2" t="s">
        <v>15</v>
      </c>
      <c r="E9" s="2" t="s">
        <v>23</v>
      </c>
      <c r="F9" s="2">
        <v>5.492234920217E12</v>
      </c>
      <c r="G9" s="2" t="s">
        <v>6029</v>
      </c>
      <c r="H9" s="2" t="s">
        <v>25</v>
      </c>
      <c r="I9" s="2" t="s">
        <v>649</v>
      </c>
      <c r="J9" s="2" t="s">
        <v>6030</v>
      </c>
      <c r="K9" s="6">
        <v>41908.0</v>
      </c>
      <c r="L9" s="2" t="s">
        <v>6031</v>
      </c>
    </row>
    <row r="10">
      <c r="A10" s="2" t="s">
        <v>6032</v>
      </c>
      <c r="B10" s="2" t="s">
        <v>6033</v>
      </c>
      <c r="C10" s="2" t="s">
        <v>14</v>
      </c>
      <c r="D10" s="2" t="s">
        <v>15</v>
      </c>
      <c r="E10" s="2" t="s">
        <v>23</v>
      </c>
      <c r="F10" s="2">
        <v>5.492236637673E12</v>
      </c>
      <c r="G10" s="2" t="s">
        <v>6034</v>
      </c>
      <c r="H10" s="2" t="s">
        <v>25</v>
      </c>
      <c r="I10" s="2" t="s">
        <v>649</v>
      </c>
      <c r="J10" s="2" t="s">
        <v>1174</v>
      </c>
      <c r="K10" s="6">
        <v>43944.0</v>
      </c>
      <c r="L10" s="2" t="s">
        <v>6035</v>
      </c>
    </row>
    <row r="11">
      <c r="A11" s="2" t="s">
        <v>6036</v>
      </c>
      <c r="B11" s="2" t="s">
        <v>6037</v>
      </c>
      <c r="C11" s="2" t="s">
        <v>14</v>
      </c>
      <c r="D11" s="2" t="s">
        <v>15</v>
      </c>
      <c r="E11" s="2" t="s">
        <v>16</v>
      </c>
      <c r="F11" s="2">
        <v>5.491140934346E12</v>
      </c>
      <c r="G11" s="2" t="s">
        <v>6038</v>
      </c>
      <c r="H11" s="2" t="s">
        <v>25</v>
      </c>
      <c r="I11" s="2" t="s">
        <v>118</v>
      </c>
      <c r="J11" s="2" t="s">
        <v>124</v>
      </c>
      <c r="K11" s="6">
        <v>44468.0</v>
      </c>
      <c r="L11" s="2" t="s">
        <v>6039</v>
      </c>
    </row>
    <row r="12">
      <c r="A12" s="2" t="s">
        <v>6040</v>
      </c>
      <c r="B12" s="2" t="s">
        <v>6041</v>
      </c>
      <c r="C12" s="2" t="s">
        <v>14</v>
      </c>
      <c r="D12" s="2" t="s">
        <v>15</v>
      </c>
      <c r="E12" s="2" t="s">
        <v>16</v>
      </c>
      <c r="F12" s="2">
        <v>5.491128473259E12</v>
      </c>
      <c r="G12" s="2" t="s">
        <v>6042</v>
      </c>
      <c r="H12" s="2" t="s">
        <v>25</v>
      </c>
      <c r="I12" s="2">
        <v>45691.0</v>
      </c>
      <c r="J12" s="2" t="s">
        <v>6043</v>
      </c>
      <c r="K12" s="6">
        <v>44671.0</v>
      </c>
      <c r="L12" s="2" t="s">
        <v>6044</v>
      </c>
    </row>
    <row r="13">
      <c r="A13" s="2" t="s">
        <v>6045</v>
      </c>
      <c r="B13" s="2" t="s">
        <v>6046</v>
      </c>
      <c r="C13" s="2" t="s">
        <v>14</v>
      </c>
      <c r="D13" s="2" t="s">
        <v>15</v>
      </c>
      <c r="E13" s="2" t="s">
        <v>16</v>
      </c>
      <c r="F13" s="2">
        <v>5.491133924468E12</v>
      </c>
      <c r="G13" s="2" t="s">
        <v>6047</v>
      </c>
      <c r="H13" s="2" t="s">
        <v>25</v>
      </c>
      <c r="I13" s="2">
        <v>45691.0</v>
      </c>
      <c r="J13" s="2" t="s">
        <v>6048</v>
      </c>
      <c r="K13" s="6">
        <v>44722.0</v>
      </c>
      <c r="L13" s="2" t="s">
        <v>6049</v>
      </c>
    </row>
    <row r="14">
      <c r="A14" s="2" t="s">
        <v>6050</v>
      </c>
      <c r="B14" s="2" t="s">
        <v>6051</v>
      </c>
      <c r="C14" s="2" t="s">
        <v>14</v>
      </c>
      <c r="D14" s="2" t="s">
        <v>15</v>
      </c>
      <c r="E14" s="2" t="s">
        <v>16</v>
      </c>
      <c r="F14" s="2">
        <v>5.491168757887E12</v>
      </c>
      <c r="G14" s="2" t="s">
        <v>6052</v>
      </c>
      <c r="H14" s="2" t="s">
        <v>25</v>
      </c>
      <c r="I14" s="2">
        <v>45691.0</v>
      </c>
      <c r="J14" s="2" t="s">
        <v>6043</v>
      </c>
      <c r="K14" s="6">
        <v>44730.0</v>
      </c>
      <c r="L14" s="2" t="s">
        <v>6053</v>
      </c>
    </row>
    <row r="15">
      <c r="A15" s="2" t="s">
        <v>6054</v>
      </c>
      <c r="B15" s="2" t="s">
        <v>6055</v>
      </c>
      <c r="C15" s="2" t="s">
        <v>14</v>
      </c>
      <c r="D15" s="2" t="s">
        <v>15</v>
      </c>
      <c r="E15" s="2" t="s">
        <v>23</v>
      </c>
      <c r="F15" s="2">
        <v>5.41133584189E11</v>
      </c>
      <c r="G15" s="2" t="s">
        <v>6056</v>
      </c>
      <c r="H15" s="2" t="s">
        <v>25</v>
      </c>
      <c r="I15" s="2">
        <v>45691.0</v>
      </c>
      <c r="J15" s="2" t="s">
        <v>6057</v>
      </c>
      <c r="K15" s="6">
        <v>44813.0</v>
      </c>
      <c r="L15" s="2" t="s">
        <v>6058</v>
      </c>
    </row>
    <row r="16">
      <c r="A16" s="2" t="s">
        <v>6059</v>
      </c>
      <c r="B16" s="2" t="s">
        <v>6060</v>
      </c>
      <c r="C16" s="2" t="s">
        <v>14</v>
      </c>
      <c r="D16" s="2" t="s">
        <v>15</v>
      </c>
      <c r="E16" s="2" t="s">
        <v>16</v>
      </c>
      <c r="F16" s="2">
        <v>5.491139360671E12</v>
      </c>
      <c r="G16" s="2" t="s">
        <v>6061</v>
      </c>
      <c r="H16" s="2" t="s">
        <v>25</v>
      </c>
      <c r="I16" s="2">
        <v>45691.0</v>
      </c>
      <c r="J16" s="2" t="s">
        <v>6057</v>
      </c>
      <c r="K16" s="6">
        <v>44944.0</v>
      </c>
      <c r="L16" s="2" t="s">
        <v>6062</v>
      </c>
    </row>
  </sheetData>
  <autoFilter ref="$A$1:$L$1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6063</v>
      </c>
      <c r="B2" s="2" t="s">
        <v>6064</v>
      </c>
      <c r="C2" s="2" t="s">
        <v>14</v>
      </c>
      <c r="D2" s="2" t="s">
        <v>15</v>
      </c>
      <c r="E2" s="2" t="s">
        <v>23</v>
      </c>
      <c r="F2" s="3">
        <f>+5491130176956</f>
        <v>5491130176956</v>
      </c>
      <c r="G2" s="2" t="s">
        <v>6065</v>
      </c>
      <c r="H2" s="2" t="s">
        <v>32</v>
      </c>
      <c r="I2" s="2" t="s">
        <v>25</v>
      </c>
      <c r="J2" s="2" t="s">
        <v>759</v>
      </c>
      <c r="K2" s="6">
        <v>40597.0</v>
      </c>
      <c r="L2" s="2" t="s">
        <v>6066</v>
      </c>
    </row>
    <row r="3">
      <c r="A3" s="2" t="s">
        <v>6067</v>
      </c>
      <c r="B3" s="2" t="s">
        <v>6068</v>
      </c>
      <c r="C3" s="2" t="s">
        <v>14</v>
      </c>
      <c r="D3" s="2" t="s">
        <v>15</v>
      </c>
      <c r="E3" s="2" t="s">
        <v>23</v>
      </c>
      <c r="F3" s="3">
        <f>+541149759196</f>
        <v>541149759196</v>
      </c>
      <c r="G3" s="2" t="s">
        <v>6069</v>
      </c>
      <c r="H3" s="2" t="s">
        <v>32</v>
      </c>
      <c r="I3" s="2" t="s">
        <v>25</v>
      </c>
      <c r="J3" s="2" t="s">
        <v>594</v>
      </c>
      <c r="K3" s="6">
        <v>40706.0</v>
      </c>
      <c r="L3" s="2" t="s">
        <v>6070</v>
      </c>
    </row>
    <row r="4">
      <c r="A4" s="2" t="s">
        <v>6071</v>
      </c>
      <c r="B4" s="2" t="s">
        <v>6072</v>
      </c>
      <c r="C4" s="2" t="s">
        <v>14</v>
      </c>
      <c r="D4" s="2" t="s">
        <v>15</v>
      </c>
      <c r="E4" s="2" t="s">
        <v>23</v>
      </c>
      <c r="F4" s="3">
        <f>+541130293991</f>
        <v>541130293991</v>
      </c>
      <c r="G4" s="2" t="s">
        <v>6073</v>
      </c>
      <c r="H4" s="2" t="s">
        <v>32</v>
      </c>
      <c r="I4" s="2" t="s">
        <v>25</v>
      </c>
      <c r="J4" s="2" t="s">
        <v>594</v>
      </c>
      <c r="K4" s="6">
        <v>41044.0</v>
      </c>
      <c r="L4" s="2" t="s">
        <v>6074</v>
      </c>
    </row>
    <row r="5">
      <c r="A5" s="2" t="s">
        <v>6075</v>
      </c>
      <c r="B5" s="2" t="s">
        <v>6076</v>
      </c>
      <c r="C5" s="2" t="s">
        <v>14</v>
      </c>
      <c r="D5" s="2" t="s">
        <v>15</v>
      </c>
      <c r="E5" s="2" t="s">
        <v>23</v>
      </c>
      <c r="F5" s="3">
        <f>+5491137624692</f>
        <v>5491137624692</v>
      </c>
      <c r="G5" s="2" t="s">
        <v>6077</v>
      </c>
      <c r="H5" s="2" t="s">
        <v>32</v>
      </c>
      <c r="I5" s="2" t="s">
        <v>25</v>
      </c>
      <c r="J5" s="2" t="s">
        <v>33</v>
      </c>
      <c r="K5" s="5">
        <v>44186.0</v>
      </c>
      <c r="L5" s="2" t="s">
        <v>6078</v>
      </c>
    </row>
    <row r="6">
      <c r="A6" s="2" t="s">
        <v>6079</v>
      </c>
      <c r="B6" s="2" t="s">
        <v>6080</v>
      </c>
      <c r="C6" s="2" t="s">
        <v>14</v>
      </c>
      <c r="D6" s="2" t="s">
        <v>15</v>
      </c>
      <c r="E6" s="2" t="s">
        <v>23</v>
      </c>
      <c r="F6" s="3">
        <f>+5491133922029</f>
        <v>5491133922029</v>
      </c>
      <c r="G6" s="2" t="s">
        <v>6081</v>
      </c>
      <c r="H6" s="2" t="s">
        <v>32</v>
      </c>
      <c r="I6" s="2" t="s">
        <v>25</v>
      </c>
      <c r="J6" s="2" t="s">
        <v>33</v>
      </c>
      <c r="K6" s="6">
        <v>43706.0</v>
      </c>
      <c r="L6" s="2" t="s">
        <v>6082</v>
      </c>
    </row>
    <row r="7">
      <c r="A7" s="2" t="s">
        <v>6083</v>
      </c>
      <c r="B7" s="2" t="s">
        <v>6084</v>
      </c>
      <c r="C7" s="2" t="s">
        <v>533</v>
      </c>
      <c r="D7" s="2" t="s">
        <v>15</v>
      </c>
      <c r="E7" s="2" t="s">
        <v>23</v>
      </c>
      <c r="F7" s="3">
        <f>+5491162086842</f>
        <v>5491162086842</v>
      </c>
      <c r="G7" s="2" t="s">
        <v>6085</v>
      </c>
      <c r="H7" s="2" t="s">
        <v>32</v>
      </c>
      <c r="I7" s="2" t="s">
        <v>25</v>
      </c>
      <c r="J7" s="2" t="s">
        <v>759</v>
      </c>
      <c r="K7" s="6">
        <v>43337.0</v>
      </c>
      <c r="L7" s="2" t="s">
        <v>6086</v>
      </c>
    </row>
    <row r="8">
      <c r="A8" s="2" t="s">
        <v>6087</v>
      </c>
      <c r="B8" s="2" t="s">
        <v>6088</v>
      </c>
      <c r="C8" s="2" t="s">
        <v>831</v>
      </c>
      <c r="D8" s="2" t="s">
        <v>15</v>
      </c>
      <c r="E8" s="2" t="s">
        <v>16</v>
      </c>
      <c r="F8" s="3">
        <f>+5491139284040</f>
        <v>5491139284040</v>
      </c>
      <c r="G8" s="2" t="s">
        <v>6089</v>
      </c>
      <c r="H8" s="2" t="s">
        <v>32</v>
      </c>
      <c r="I8" s="2" t="s">
        <v>25</v>
      </c>
      <c r="J8" s="2" t="s">
        <v>33</v>
      </c>
      <c r="K8" s="6">
        <v>43973.0</v>
      </c>
      <c r="L8" s="2" t="s">
        <v>6090</v>
      </c>
    </row>
    <row r="9">
      <c r="A9" s="2" t="s">
        <v>6091</v>
      </c>
      <c r="B9" s="2" t="s">
        <v>6092</v>
      </c>
      <c r="C9" s="2" t="s">
        <v>533</v>
      </c>
      <c r="D9" s="2" t="s">
        <v>15</v>
      </c>
      <c r="E9" s="2" t="s">
        <v>16</v>
      </c>
      <c r="F9" s="3">
        <f>+5491138098511</f>
        <v>5491138098511</v>
      </c>
      <c r="G9" s="2" t="s">
        <v>6093</v>
      </c>
      <c r="H9" s="2" t="s">
        <v>32</v>
      </c>
      <c r="I9" s="2" t="s">
        <v>25</v>
      </c>
      <c r="J9" s="2" t="s">
        <v>33</v>
      </c>
      <c r="K9" s="5">
        <v>44132.0</v>
      </c>
      <c r="L9" s="2" t="s">
        <v>6094</v>
      </c>
    </row>
    <row r="10">
      <c r="A10" s="2" t="s">
        <v>6095</v>
      </c>
      <c r="B10" s="2" t="s">
        <v>6096</v>
      </c>
      <c r="C10" s="2" t="s">
        <v>185</v>
      </c>
      <c r="D10" s="2" t="s">
        <v>15</v>
      </c>
      <c r="E10" s="2" t="s">
        <v>16</v>
      </c>
      <c r="F10" s="3">
        <f>+5491148110830</f>
        <v>5491148110830</v>
      </c>
      <c r="G10" s="2" t="s">
        <v>6097</v>
      </c>
      <c r="H10" s="2" t="s">
        <v>32</v>
      </c>
      <c r="I10" s="2" t="s">
        <v>25</v>
      </c>
      <c r="J10" s="2" t="s">
        <v>759</v>
      </c>
      <c r="K10" s="6">
        <v>43710.0</v>
      </c>
      <c r="L10" s="2" t="s">
        <v>6098</v>
      </c>
    </row>
    <row r="11">
      <c r="A11" s="2" t="s">
        <v>6099</v>
      </c>
      <c r="B11" s="2" t="s">
        <v>6100</v>
      </c>
      <c r="C11" s="2" t="s">
        <v>14</v>
      </c>
      <c r="D11" s="2" t="s">
        <v>15</v>
      </c>
      <c r="E11" s="2" t="s">
        <v>23</v>
      </c>
      <c r="F11" s="3">
        <f>+5491154092700</f>
        <v>5491154092700</v>
      </c>
      <c r="G11" s="2" t="s">
        <v>6101</v>
      </c>
      <c r="H11" s="2" t="s">
        <v>32</v>
      </c>
      <c r="I11" s="2" t="s">
        <v>25</v>
      </c>
      <c r="J11" s="2" t="s">
        <v>33</v>
      </c>
      <c r="K11" s="6">
        <v>44404.0</v>
      </c>
      <c r="L11" s="2" t="s">
        <v>6102</v>
      </c>
    </row>
    <row r="12">
      <c r="A12" s="2" t="s">
        <v>6103</v>
      </c>
      <c r="B12" s="2" t="s">
        <v>6104</v>
      </c>
      <c r="C12" s="2" t="s">
        <v>14</v>
      </c>
      <c r="D12" s="2" t="s">
        <v>15</v>
      </c>
      <c r="E12" s="2" t="s">
        <v>23</v>
      </c>
      <c r="F12" s="3">
        <f>+5491144101000</f>
        <v>5491144101000</v>
      </c>
      <c r="G12" s="2" t="s">
        <v>6105</v>
      </c>
      <c r="H12" s="2" t="s">
        <v>32</v>
      </c>
      <c r="I12" s="2" t="s">
        <v>25</v>
      </c>
      <c r="J12" s="2" t="s">
        <v>33</v>
      </c>
      <c r="K12" s="6">
        <v>43929.0</v>
      </c>
      <c r="L12" s="2" t="s">
        <v>6106</v>
      </c>
    </row>
    <row r="13">
      <c r="A13" s="2" t="s">
        <v>6107</v>
      </c>
      <c r="B13" s="2" t="s">
        <v>6108</v>
      </c>
      <c r="C13" s="2" t="s">
        <v>533</v>
      </c>
      <c r="D13" s="2" t="s">
        <v>15</v>
      </c>
      <c r="E13" s="2" t="s">
        <v>16</v>
      </c>
      <c r="F13" s="3">
        <f>+541147735011</f>
        <v>541147735011</v>
      </c>
      <c r="G13" s="2" t="s">
        <v>6109</v>
      </c>
      <c r="H13" s="2" t="s">
        <v>32</v>
      </c>
      <c r="I13" s="2" t="s">
        <v>25</v>
      </c>
      <c r="J13" s="2" t="s">
        <v>33</v>
      </c>
      <c r="K13" s="5">
        <v>43802.0</v>
      </c>
      <c r="L13" s="2" t="s">
        <v>6110</v>
      </c>
    </row>
    <row r="14">
      <c r="A14" s="2" t="s">
        <v>6111</v>
      </c>
      <c r="B14" s="2" t="s">
        <v>6112</v>
      </c>
      <c r="C14" s="2" t="s">
        <v>1150</v>
      </c>
      <c r="D14" s="2" t="s">
        <v>15</v>
      </c>
      <c r="E14" s="2" t="s">
        <v>23</v>
      </c>
      <c r="F14" s="3">
        <f>+5447045941</f>
        <v>5447045941</v>
      </c>
      <c r="G14" s="2" t="s">
        <v>6113</v>
      </c>
      <c r="H14" s="2" t="s">
        <v>32</v>
      </c>
      <c r="I14" s="2" t="s">
        <v>25</v>
      </c>
      <c r="J14" s="2" t="s">
        <v>846</v>
      </c>
      <c r="K14" s="6">
        <v>44356.0</v>
      </c>
      <c r="L14" s="2" t="s">
        <v>6114</v>
      </c>
    </row>
    <row r="15">
      <c r="A15" s="2" t="s">
        <v>6115</v>
      </c>
      <c r="B15" s="2" t="s">
        <v>6116</v>
      </c>
      <c r="C15" s="2" t="s">
        <v>14</v>
      </c>
      <c r="D15" s="2" t="s">
        <v>15</v>
      </c>
      <c r="E15" s="2" t="s">
        <v>23</v>
      </c>
      <c r="F15" s="3">
        <f>+5491168714602</f>
        <v>5491168714602</v>
      </c>
      <c r="G15" s="2" t="s">
        <v>6117</v>
      </c>
      <c r="H15" s="2" t="s">
        <v>32</v>
      </c>
      <c r="I15" s="2" t="s">
        <v>25</v>
      </c>
      <c r="J15" s="2" t="s">
        <v>33</v>
      </c>
      <c r="K15" s="6">
        <v>43123.0</v>
      </c>
      <c r="L15" s="2" t="s">
        <v>6118</v>
      </c>
    </row>
    <row r="16">
      <c r="A16" s="2" t="s">
        <v>6119</v>
      </c>
      <c r="B16" s="2" t="s">
        <v>6120</v>
      </c>
      <c r="C16" s="2" t="s">
        <v>14</v>
      </c>
      <c r="D16" s="2" t="s">
        <v>15</v>
      </c>
      <c r="E16" s="2" t="s">
        <v>16</v>
      </c>
      <c r="F16" s="3">
        <f>+5491169802500</f>
        <v>5491169802500</v>
      </c>
      <c r="G16" s="2" t="s">
        <v>6121</v>
      </c>
      <c r="H16" s="2" t="s">
        <v>32</v>
      </c>
      <c r="I16" s="2" t="s">
        <v>25</v>
      </c>
      <c r="J16" s="2" t="s">
        <v>33</v>
      </c>
      <c r="K16" s="6">
        <v>43313.0</v>
      </c>
      <c r="L16" s="2" t="s">
        <v>6122</v>
      </c>
    </row>
    <row r="17">
      <c r="A17" s="2" t="s">
        <v>6123</v>
      </c>
      <c r="B17" s="2" t="s">
        <v>6124</v>
      </c>
      <c r="C17" s="2" t="s">
        <v>6023</v>
      </c>
      <c r="D17" s="2" t="s">
        <v>15</v>
      </c>
      <c r="E17" s="2" t="s">
        <v>16</v>
      </c>
      <c r="F17" s="3">
        <f>+5491155645733</f>
        <v>5491155645733</v>
      </c>
      <c r="G17" s="2" t="s">
        <v>6125</v>
      </c>
      <c r="H17" s="2" t="s">
        <v>32</v>
      </c>
      <c r="I17" s="2" t="s">
        <v>25</v>
      </c>
      <c r="J17" s="2" t="s">
        <v>33</v>
      </c>
      <c r="K17" s="6">
        <v>43948.0</v>
      </c>
      <c r="L17" s="2" t="s">
        <v>6126</v>
      </c>
    </row>
    <row r="18">
      <c r="A18" s="2" t="s">
        <v>6127</v>
      </c>
      <c r="B18" s="2" t="s">
        <v>6128</v>
      </c>
      <c r="C18" s="2" t="s">
        <v>185</v>
      </c>
      <c r="D18" s="2" t="s">
        <v>15</v>
      </c>
      <c r="E18" s="2" t="s">
        <v>16</v>
      </c>
      <c r="F18" s="3">
        <f>+541167260703</f>
        <v>541167260703</v>
      </c>
      <c r="G18" s="2" t="s">
        <v>6129</v>
      </c>
      <c r="H18" s="2" t="s">
        <v>32</v>
      </c>
      <c r="I18" s="2" t="s">
        <v>25</v>
      </c>
      <c r="J18" s="2" t="s">
        <v>594</v>
      </c>
      <c r="K18" s="6">
        <v>44082.0</v>
      </c>
      <c r="L18" s="2" t="s">
        <v>6130</v>
      </c>
    </row>
    <row r="19">
      <c r="A19" s="2" t="s">
        <v>6131</v>
      </c>
      <c r="B19" s="2" t="s">
        <v>6132</v>
      </c>
      <c r="C19" s="2" t="s">
        <v>14</v>
      </c>
      <c r="D19" s="2" t="s">
        <v>15</v>
      </c>
      <c r="E19" s="2" t="s">
        <v>23</v>
      </c>
      <c r="F19" s="3">
        <f>+5491136568100</f>
        <v>5491136568100</v>
      </c>
      <c r="G19" s="2" t="s">
        <v>6133</v>
      </c>
      <c r="H19" s="2" t="s">
        <v>32</v>
      </c>
      <c r="I19" s="2" t="s">
        <v>25</v>
      </c>
      <c r="J19" s="2" t="s">
        <v>594</v>
      </c>
      <c r="K19" s="6">
        <v>44300.0</v>
      </c>
      <c r="L19" s="2" t="s">
        <v>6134</v>
      </c>
    </row>
    <row r="20">
      <c r="A20" s="2" t="s">
        <v>6135</v>
      </c>
      <c r="B20" s="2" t="s">
        <v>6136</v>
      </c>
      <c r="C20" s="2" t="s">
        <v>14</v>
      </c>
      <c r="D20" s="2" t="s">
        <v>15</v>
      </c>
      <c r="E20" s="2" t="s">
        <v>16</v>
      </c>
      <c r="F20" s="3">
        <f>+5491155858097</f>
        <v>5491155858097</v>
      </c>
      <c r="G20" s="2" t="s">
        <v>6137</v>
      </c>
      <c r="H20" s="2" t="s">
        <v>32</v>
      </c>
      <c r="I20" s="2" t="s">
        <v>25</v>
      </c>
      <c r="J20" s="2" t="s">
        <v>33</v>
      </c>
      <c r="K20" s="5">
        <v>43777.0</v>
      </c>
      <c r="L20" s="2" t="s">
        <v>6138</v>
      </c>
    </row>
    <row r="21">
      <c r="A21" s="2" t="s">
        <v>6139</v>
      </c>
      <c r="B21" s="2" t="s">
        <v>6140</v>
      </c>
      <c r="C21" s="2" t="s">
        <v>831</v>
      </c>
      <c r="D21" s="2" t="s">
        <v>15</v>
      </c>
      <c r="E21" s="2" t="s">
        <v>16</v>
      </c>
      <c r="F21" s="3">
        <f>+541145450258</f>
        <v>541145450258</v>
      </c>
      <c r="G21" s="2" t="s">
        <v>6141</v>
      </c>
      <c r="H21" s="2" t="s">
        <v>32</v>
      </c>
      <c r="I21" s="2" t="s">
        <v>25</v>
      </c>
      <c r="J21" s="2" t="s">
        <v>266</v>
      </c>
      <c r="K21" s="6">
        <v>44082.0</v>
      </c>
      <c r="L21" s="2" t="s">
        <v>6142</v>
      </c>
    </row>
    <row r="22">
      <c r="A22" s="2" t="s">
        <v>6143</v>
      </c>
      <c r="B22" s="2" t="s">
        <v>6144</v>
      </c>
      <c r="C22" s="2" t="s">
        <v>14</v>
      </c>
      <c r="D22" s="2" t="s">
        <v>15</v>
      </c>
      <c r="E22" s="2" t="s">
        <v>23</v>
      </c>
      <c r="F22" s="3">
        <f>+5491169745988</f>
        <v>5491169745988</v>
      </c>
      <c r="G22" s="2" t="s">
        <v>6145</v>
      </c>
      <c r="H22" s="2" t="s">
        <v>32</v>
      </c>
      <c r="I22" s="2" t="s">
        <v>25</v>
      </c>
      <c r="J22" s="2" t="s">
        <v>33</v>
      </c>
      <c r="K22" s="6">
        <v>43945.0</v>
      </c>
      <c r="L22" s="2" t="s">
        <v>6146</v>
      </c>
    </row>
    <row r="23">
      <c r="A23" s="2" t="s">
        <v>6147</v>
      </c>
      <c r="B23" s="2" t="s">
        <v>6148</v>
      </c>
      <c r="C23" s="2" t="s">
        <v>6023</v>
      </c>
      <c r="D23" s="2" t="s">
        <v>15</v>
      </c>
      <c r="E23" s="2" t="s">
        <v>16</v>
      </c>
      <c r="F23" s="3">
        <f>+5491155645733</f>
        <v>5491155645733</v>
      </c>
      <c r="G23" s="2" t="s">
        <v>6149</v>
      </c>
      <c r="H23" s="2" t="s">
        <v>32</v>
      </c>
      <c r="I23" s="2" t="s">
        <v>25</v>
      </c>
      <c r="J23" s="2" t="s">
        <v>594</v>
      </c>
      <c r="K23" s="6">
        <v>43948.0</v>
      </c>
      <c r="L23" s="2" t="s">
        <v>6150</v>
      </c>
    </row>
    <row r="24">
      <c r="A24" s="2" t="s">
        <v>6151</v>
      </c>
      <c r="B24" s="2" t="s">
        <v>6152</v>
      </c>
      <c r="C24" s="2" t="s">
        <v>185</v>
      </c>
      <c r="D24" s="2" t="s">
        <v>15</v>
      </c>
      <c r="E24" s="2" t="s">
        <v>16</v>
      </c>
      <c r="F24" s="3" t="str">
        <f>+54 9 11 6594-3658</f>
        <v>#ERROR!</v>
      </c>
      <c r="G24" s="2" t="s">
        <v>6153</v>
      </c>
      <c r="H24" s="2" t="s">
        <v>32</v>
      </c>
      <c r="I24" s="2" t="s">
        <v>25</v>
      </c>
      <c r="J24" s="2" t="s">
        <v>33</v>
      </c>
      <c r="K24" s="6">
        <v>44420.0</v>
      </c>
      <c r="L24" s="2" t="s">
        <v>6154</v>
      </c>
    </row>
    <row r="25">
      <c r="A25" s="2" t="s">
        <v>6155</v>
      </c>
      <c r="B25" s="2" t="s">
        <v>6156</v>
      </c>
      <c r="C25" s="2" t="s">
        <v>831</v>
      </c>
      <c r="D25" s="2" t="s">
        <v>15</v>
      </c>
      <c r="E25" s="2" t="s">
        <v>16</v>
      </c>
      <c r="F25" s="3">
        <f>+541175237327</f>
        <v>541175237327</v>
      </c>
      <c r="G25" s="2" t="s">
        <v>6157</v>
      </c>
      <c r="H25" s="2" t="s">
        <v>32</v>
      </c>
      <c r="I25" s="2" t="s">
        <v>25</v>
      </c>
      <c r="J25" s="2" t="s">
        <v>594</v>
      </c>
      <c r="K25" s="6">
        <v>43914.0</v>
      </c>
      <c r="L25" s="2" t="s">
        <v>6158</v>
      </c>
    </row>
    <row r="26">
      <c r="A26" s="2" t="s">
        <v>6159</v>
      </c>
      <c r="B26" s="2" t="s">
        <v>6160</v>
      </c>
      <c r="C26" s="2" t="s">
        <v>14</v>
      </c>
      <c r="D26" s="2" t="s">
        <v>15</v>
      </c>
      <c r="E26" s="2" t="s">
        <v>16</v>
      </c>
      <c r="F26" s="3">
        <f>+5491169802500</f>
        <v>5491169802500</v>
      </c>
      <c r="G26" s="2" t="s">
        <v>6161</v>
      </c>
      <c r="H26" s="2" t="s">
        <v>32</v>
      </c>
      <c r="I26" s="2" t="s">
        <v>25</v>
      </c>
      <c r="J26" s="2" t="s">
        <v>33</v>
      </c>
      <c r="K26" s="6">
        <v>43313.0</v>
      </c>
      <c r="L26" s="2" t="s">
        <v>6162</v>
      </c>
    </row>
    <row r="27">
      <c r="A27" s="2" t="s">
        <v>6163</v>
      </c>
      <c r="B27" s="2" t="s">
        <v>6164</v>
      </c>
      <c r="C27" s="2" t="s">
        <v>14</v>
      </c>
      <c r="D27" s="2" t="s">
        <v>15</v>
      </c>
      <c r="E27" s="2" t="s">
        <v>23</v>
      </c>
      <c r="F27" s="3">
        <f>+5491168586837</f>
        <v>5491168586837</v>
      </c>
      <c r="G27" s="2" t="s">
        <v>6165</v>
      </c>
      <c r="H27" s="2" t="s">
        <v>32</v>
      </c>
      <c r="I27" s="2" t="s">
        <v>25</v>
      </c>
      <c r="J27" s="2" t="s">
        <v>759</v>
      </c>
      <c r="K27" s="6">
        <v>43370.0</v>
      </c>
      <c r="L27" s="2" t="s">
        <v>6166</v>
      </c>
    </row>
    <row r="28">
      <c r="A28" s="2" t="s">
        <v>6167</v>
      </c>
      <c r="B28" s="2" t="s">
        <v>6168</v>
      </c>
      <c r="C28" s="2" t="s">
        <v>14</v>
      </c>
      <c r="D28" s="2" t="s">
        <v>15</v>
      </c>
      <c r="E28" s="2" t="s">
        <v>16</v>
      </c>
      <c r="F28" s="3">
        <f>+5491155661306</f>
        <v>5491155661306</v>
      </c>
      <c r="G28" s="2" t="s">
        <v>6169</v>
      </c>
      <c r="H28" s="2" t="s">
        <v>32</v>
      </c>
      <c r="I28" s="2" t="s">
        <v>25</v>
      </c>
      <c r="J28" s="2" t="s">
        <v>594</v>
      </c>
      <c r="K28" s="6">
        <v>44223.0</v>
      </c>
      <c r="L28" s="2" t="s">
        <v>6170</v>
      </c>
    </row>
    <row r="29">
      <c r="A29" s="2" t="s">
        <v>6171</v>
      </c>
      <c r="B29" s="2" t="s">
        <v>6172</v>
      </c>
      <c r="C29" s="2" t="s">
        <v>14</v>
      </c>
      <c r="D29" s="2" t="s">
        <v>15</v>
      </c>
      <c r="E29" s="2" t="s">
        <v>16</v>
      </c>
      <c r="F29" s="3">
        <f>+5491125813022</f>
        <v>5491125813022</v>
      </c>
      <c r="G29" s="2" t="s">
        <v>6173</v>
      </c>
      <c r="H29" s="2" t="s">
        <v>32</v>
      </c>
      <c r="I29" s="2" t="s">
        <v>25</v>
      </c>
      <c r="J29" s="2" t="s">
        <v>594</v>
      </c>
      <c r="K29" s="6">
        <v>44370.0</v>
      </c>
      <c r="L29" s="2" t="s">
        <v>6174</v>
      </c>
    </row>
    <row r="30">
      <c r="A30" s="2" t="s">
        <v>6175</v>
      </c>
      <c r="B30" s="2" t="s">
        <v>6176</v>
      </c>
      <c r="C30" s="2" t="s">
        <v>14</v>
      </c>
      <c r="D30" s="2" t="s">
        <v>15</v>
      </c>
      <c r="E30" s="2" t="s">
        <v>16</v>
      </c>
      <c r="F30" s="3">
        <f>+5491147192418</f>
        <v>5491147192418</v>
      </c>
      <c r="G30" s="2" t="s">
        <v>6177</v>
      </c>
      <c r="H30" s="2" t="s">
        <v>32</v>
      </c>
      <c r="I30" s="2" t="s">
        <v>25</v>
      </c>
      <c r="J30" s="2" t="s">
        <v>846</v>
      </c>
      <c r="K30" s="5">
        <v>43403.0</v>
      </c>
      <c r="L30" s="2" t="s">
        <v>6178</v>
      </c>
    </row>
    <row r="31">
      <c r="A31" s="2" t="s">
        <v>6179</v>
      </c>
      <c r="B31" s="2" t="s">
        <v>6180</v>
      </c>
      <c r="C31" s="2" t="s">
        <v>14</v>
      </c>
      <c r="D31" s="2" t="s">
        <v>15</v>
      </c>
      <c r="E31" s="2" t="s">
        <v>16</v>
      </c>
      <c r="F31" s="3">
        <f>+5491130661318</f>
        <v>5491130661318</v>
      </c>
      <c r="G31" s="2" t="s">
        <v>6181</v>
      </c>
      <c r="H31" s="2" t="s">
        <v>32</v>
      </c>
      <c r="I31" s="2" t="s">
        <v>25</v>
      </c>
      <c r="J31" s="2" t="s">
        <v>33</v>
      </c>
      <c r="K31" s="6">
        <v>44088.0</v>
      </c>
      <c r="L31" s="2" t="s">
        <v>6182</v>
      </c>
    </row>
    <row r="32">
      <c r="A32" s="2" t="s">
        <v>6183</v>
      </c>
      <c r="B32" s="2" t="s">
        <v>6184</v>
      </c>
      <c r="C32" s="2" t="s">
        <v>1150</v>
      </c>
      <c r="D32" s="2" t="s">
        <v>15</v>
      </c>
      <c r="E32" s="2" t="s">
        <v>16</v>
      </c>
      <c r="F32" s="3">
        <f>+5492364381061</f>
        <v>5492364381061</v>
      </c>
      <c r="G32" s="2" t="s">
        <v>6185</v>
      </c>
      <c r="H32" s="2" t="s">
        <v>32</v>
      </c>
      <c r="I32" s="2" t="s">
        <v>25</v>
      </c>
      <c r="J32" s="2" t="s">
        <v>33</v>
      </c>
      <c r="K32" s="5">
        <v>43403.0</v>
      </c>
      <c r="L32" s="2" t="s">
        <v>6186</v>
      </c>
    </row>
    <row r="33">
      <c r="A33" s="2" t="s">
        <v>6187</v>
      </c>
      <c r="B33" s="2" t="s">
        <v>6188</v>
      </c>
      <c r="C33" s="2" t="s">
        <v>831</v>
      </c>
      <c r="D33" s="2" t="s">
        <v>15</v>
      </c>
      <c r="E33" s="2" t="s">
        <v>23</v>
      </c>
      <c r="F33" s="3">
        <f>+5491164175759</f>
        <v>5491164175759</v>
      </c>
      <c r="G33" s="2" t="s">
        <v>6189</v>
      </c>
      <c r="H33" s="2" t="s">
        <v>32</v>
      </c>
      <c r="I33" s="2" t="s">
        <v>25</v>
      </c>
      <c r="J33" s="2" t="s">
        <v>759</v>
      </c>
      <c r="K33" s="5">
        <v>43826.0</v>
      </c>
      <c r="L33" s="2" t="s">
        <v>6190</v>
      </c>
    </row>
    <row r="34">
      <c r="A34" s="2" t="s">
        <v>6191</v>
      </c>
      <c r="B34" s="2" t="s">
        <v>6192</v>
      </c>
      <c r="C34" s="2" t="s">
        <v>831</v>
      </c>
      <c r="D34" s="2" t="s">
        <v>15</v>
      </c>
      <c r="E34" s="2" t="s">
        <v>16</v>
      </c>
      <c r="F34" s="3">
        <f>+541167171879</f>
        <v>541167171879</v>
      </c>
      <c r="G34" s="2" t="s">
        <v>6193</v>
      </c>
      <c r="H34" s="2" t="s">
        <v>32</v>
      </c>
      <c r="I34" s="2" t="s">
        <v>25</v>
      </c>
      <c r="J34" s="2" t="s">
        <v>846</v>
      </c>
      <c r="K34" s="6">
        <v>44013.0</v>
      </c>
      <c r="L34" s="2" t="s">
        <v>6194</v>
      </c>
    </row>
    <row r="35">
      <c r="A35" s="2" t="s">
        <v>6195</v>
      </c>
      <c r="B35" s="2" t="s">
        <v>6196</v>
      </c>
      <c r="C35" s="2" t="s">
        <v>14</v>
      </c>
      <c r="D35" s="2" t="s">
        <v>15</v>
      </c>
      <c r="E35" s="2" t="s">
        <v>16</v>
      </c>
      <c r="F35" s="3">
        <f>+5411114719242</f>
        <v>5411114719242</v>
      </c>
      <c r="G35" s="2" t="s">
        <v>6197</v>
      </c>
      <c r="H35" s="2" t="s">
        <v>32</v>
      </c>
      <c r="I35" s="2" t="s">
        <v>25</v>
      </c>
      <c r="J35" s="2" t="s">
        <v>266</v>
      </c>
      <c r="K35" s="5">
        <v>43405.0</v>
      </c>
      <c r="L35" s="2" t="s">
        <v>6198</v>
      </c>
    </row>
    <row r="36">
      <c r="A36" s="2" t="s">
        <v>6199</v>
      </c>
      <c r="B36" s="2" t="s">
        <v>6200</v>
      </c>
      <c r="C36" s="2" t="s">
        <v>1150</v>
      </c>
      <c r="D36" s="2" t="s">
        <v>15</v>
      </c>
      <c r="E36" s="2" t="s">
        <v>23</v>
      </c>
      <c r="F36" s="3">
        <f>+5491133578116</f>
        <v>5491133578116</v>
      </c>
      <c r="G36" s="2" t="s">
        <v>6201</v>
      </c>
      <c r="H36" s="2" t="s">
        <v>32</v>
      </c>
      <c r="I36" s="2" t="s">
        <v>25</v>
      </c>
      <c r="J36" s="2" t="s">
        <v>266</v>
      </c>
      <c r="K36" s="5">
        <v>44181.0</v>
      </c>
      <c r="L36" s="2" t="s">
        <v>6202</v>
      </c>
    </row>
    <row r="37">
      <c r="A37" s="2" t="s">
        <v>6203</v>
      </c>
      <c r="B37" s="2" t="s">
        <v>6204</v>
      </c>
      <c r="C37" s="2" t="s">
        <v>14</v>
      </c>
      <c r="D37" s="2" t="s">
        <v>15</v>
      </c>
      <c r="E37" s="2" t="s">
        <v>16</v>
      </c>
      <c r="F37" s="3">
        <f>+5491175313413</f>
        <v>5491175313413</v>
      </c>
      <c r="G37" s="2" t="s">
        <v>6205</v>
      </c>
      <c r="H37" s="2" t="s">
        <v>32</v>
      </c>
      <c r="I37" s="2" t="s">
        <v>25</v>
      </c>
      <c r="J37" s="2" t="s">
        <v>594</v>
      </c>
      <c r="K37" s="6">
        <v>43941.0</v>
      </c>
      <c r="L37" s="2" t="s">
        <v>6206</v>
      </c>
    </row>
    <row r="38">
      <c r="A38" s="2" t="s">
        <v>6207</v>
      </c>
      <c r="B38" s="2" t="s">
        <v>6208</v>
      </c>
      <c r="C38" s="2" t="s">
        <v>14</v>
      </c>
      <c r="D38" s="2" t="s">
        <v>15</v>
      </c>
      <c r="E38" s="2" t="s">
        <v>16</v>
      </c>
      <c r="F38" s="3">
        <f>+5491165215630</f>
        <v>5491165215630</v>
      </c>
      <c r="G38" s="2" t="s">
        <v>6209</v>
      </c>
      <c r="H38" s="2" t="s">
        <v>32</v>
      </c>
      <c r="I38" s="2" t="s">
        <v>25</v>
      </c>
      <c r="J38" s="2" t="s">
        <v>594</v>
      </c>
      <c r="K38" s="6">
        <v>43970.0</v>
      </c>
      <c r="L38" s="2" t="s">
        <v>6210</v>
      </c>
    </row>
    <row r="39">
      <c r="A39" s="2" t="s">
        <v>6211</v>
      </c>
      <c r="B39" s="2" t="s">
        <v>6212</v>
      </c>
      <c r="C39" s="2" t="s">
        <v>14</v>
      </c>
      <c r="D39" s="2" t="s">
        <v>15</v>
      </c>
      <c r="E39" s="2" t="s">
        <v>16</v>
      </c>
      <c r="F39" s="3">
        <f>+5491161347344</f>
        <v>5491161347344</v>
      </c>
      <c r="G39" s="2" t="s">
        <v>6213</v>
      </c>
      <c r="H39" s="2" t="s">
        <v>32</v>
      </c>
      <c r="I39" s="2" t="s">
        <v>25</v>
      </c>
      <c r="J39" s="2" t="s">
        <v>266</v>
      </c>
      <c r="K39" s="6">
        <v>44075.0</v>
      </c>
      <c r="L39" s="2" t="s">
        <v>6214</v>
      </c>
    </row>
    <row r="40">
      <c r="A40" s="2" t="s">
        <v>6215</v>
      </c>
      <c r="B40" s="2" t="s">
        <v>6216</v>
      </c>
      <c r="C40" s="2" t="s">
        <v>831</v>
      </c>
      <c r="D40" s="2" t="s">
        <v>15</v>
      </c>
      <c r="E40" s="2" t="s">
        <v>16</v>
      </c>
      <c r="F40" s="3">
        <f>+541148323071</f>
        <v>541148323071</v>
      </c>
      <c r="G40" s="2" t="s">
        <v>6217</v>
      </c>
      <c r="H40" s="2" t="s">
        <v>32</v>
      </c>
      <c r="I40" s="2" t="s">
        <v>25</v>
      </c>
      <c r="J40" s="2" t="s">
        <v>33</v>
      </c>
      <c r="K40" s="6">
        <v>44349.0</v>
      </c>
      <c r="L40" s="2" t="s">
        <v>6218</v>
      </c>
    </row>
    <row r="41">
      <c r="A41" s="2" t="s">
        <v>6219</v>
      </c>
      <c r="B41" s="2" t="s">
        <v>6220</v>
      </c>
      <c r="C41" s="2" t="s">
        <v>14</v>
      </c>
      <c r="D41" s="2" t="s">
        <v>15</v>
      </c>
      <c r="E41" s="2" t="s">
        <v>16</v>
      </c>
      <c r="F41" s="3">
        <f>+541147771706</f>
        <v>541147771706</v>
      </c>
      <c r="G41" s="2" t="s">
        <v>6221</v>
      </c>
      <c r="H41" s="2" t="s">
        <v>32</v>
      </c>
      <c r="I41" s="2" t="s">
        <v>25</v>
      </c>
      <c r="J41" s="2" t="s">
        <v>33</v>
      </c>
      <c r="K41" s="6">
        <v>43836.0</v>
      </c>
      <c r="L41" s="2" t="s">
        <v>6222</v>
      </c>
    </row>
    <row r="42">
      <c r="A42" s="2" t="s">
        <v>6223</v>
      </c>
      <c r="B42" s="2" t="s">
        <v>6224</v>
      </c>
      <c r="C42" s="2" t="s">
        <v>14</v>
      </c>
      <c r="D42" s="2" t="s">
        <v>15</v>
      </c>
      <c r="E42" s="2" t="s">
        <v>16</v>
      </c>
      <c r="F42" s="3">
        <f>+541147736156/+541147736156</f>
        <v>1</v>
      </c>
      <c r="G42" s="2" t="s">
        <v>6225</v>
      </c>
      <c r="H42" s="2" t="s">
        <v>32</v>
      </c>
      <c r="I42" s="2" t="s">
        <v>25</v>
      </c>
      <c r="J42" s="2" t="s">
        <v>33</v>
      </c>
      <c r="K42" s="6">
        <v>42940.0</v>
      </c>
      <c r="L42" s="2" t="s">
        <v>6226</v>
      </c>
    </row>
    <row r="43">
      <c r="A43" s="2" t="s">
        <v>6227</v>
      </c>
      <c r="B43" s="2" t="s">
        <v>6228</v>
      </c>
      <c r="C43" s="2" t="s">
        <v>14</v>
      </c>
      <c r="D43" s="2" t="s">
        <v>15</v>
      </c>
      <c r="E43" s="2" t="s">
        <v>23</v>
      </c>
      <c r="F43" s="3">
        <f>+541157975383</f>
        <v>541157975383</v>
      </c>
      <c r="G43" s="2" t="s">
        <v>6229</v>
      </c>
      <c r="H43" s="2" t="s">
        <v>32</v>
      </c>
      <c r="I43" s="2" t="s">
        <v>25</v>
      </c>
      <c r="J43" s="2" t="s">
        <v>594</v>
      </c>
      <c r="K43" s="5">
        <v>43790.0</v>
      </c>
      <c r="L43" s="2" t="s">
        <v>6230</v>
      </c>
    </row>
    <row r="44">
      <c r="A44" s="2" t="s">
        <v>6231</v>
      </c>
      <c r="B44" s="2" t="s">
        <v>6232</v>
      </c>
      <c r="C44" s="2" t="s">
        <v>14</v>
      </c>
      <c r="D44" s="2" t="s">
        <v>15</v>
      </c>
      <c r="E44" s="2" t="s">
        <v>23</v>
      </c>
      <c r="F44" s="3">
        <f>+5491132274202</f>
        <v>5491132274202</v>
      </c>
      <c r="G44" s="2" t="s">
        <v>6233</v>
      </c>
      <c r="H44" s="2" t="s">
        <v>32</v>
      </c>
      <c r="I44" s="2" t="s">
        <v>25</v>
      </c>
      <c r="J44" s="2" t="s">
        <v>33</v>
      </c>
      <c r="K44" s="5">
        <v>43740.0</v>
      </c>
      <c r="L44" s="2" t="s">
        <v>6234</v>
      </c>
    </row>
    <row r="45">
      <c r="A45" s="2" t="s">
        <v>6235</v>
      </c>
      <c r="B45" s="2" t="s">
        <v>6236</v>
      </c>
      <c r="C45" s="2" t="s">
        <v>185</v>
      </c>
      <c r="D45" s="2" t="s">
        <v>15</v>
      </c>
      <c r="E45" s="2" t="s">
        <v>16</v>
      </c>
      <c r="F45" s="3">
        <f>+5491134383270</f>
        <v>5491134383270</v>
      </c>
      <c r="G45" s="2" t="s">
        <v>6237</v>
      </c>
      <c r="H45" s="2" t="s">
        <v>32</v>
      </c>
      <c r="I45" s="2" t="s">
        <v>25</v>
      </c>
      <c r="J45" s="2" t="s">
        <v>33</v>
      </c>
      <c r="K45" s="6">
        <v>43738.0</v>
      </c>
      <c r="L45" s="2" t="s">
        <v>6238</v>
      </c>
    </row>
    <row r="46">
      <c r="A46" s="2" t="s">
        <v>6239</v>
      </c>
      <c r="B46" s="2" t="s">
        <v>6240</v>
      </c>
      <c r="C46" s="2" t="s">
        <v>14</v>
      </c>
      <c r="D46" s="2" t="s">
        <v>15</v>
      </c>
      <c r="E46" s="2" t="s">
        <v>16</v>
      </c>
      <c r="F46" s="3">
        <f>+5491150975033/ +5491148038515</f>
        <v>1.000000535</v>
      </c>
      <c r="G46" s="2" t="s">
        <v>6241</v>
      </c>
      <c r="H46" s="2" t="s">
        <v>32</v>
      </c>
      <c r="I46" s="2" t="s">
        <v>25</v>
      </c>
      <c r="J46" s="2" t="s">
        <v>759</v>
      </c>
      <c r="K46" s="6">
        <v>43948.0</v>
      </c>
      <c r="L46" s="2" t="s">
        <v>6242</v>
      </c>
    </row>
    <row r="47">
      <c r="A47" s="2" t="s">
        <v>6243</v>
      </c>
      <c r="B47" s="2" t="s">
        <v>6244</v>
      </c>
      <c r="C47" s="2" t="s">
        <v>185</v>
      </c>
      <c r="D47" s="2" t="s">
        <v>15</v>
      </c>
      <c r="E47" s="2" t="s">
        <v>16</v>
      </c>
      <c r="F47" s="3">
        <f>+5491133963421</f>
        <v>5491133963421</v>
      </c>
      <c r="G47" s="2" t="s">
        <v>6245</v>
      </c>
      <c r="H47" s="2" t="s">
        <v>32</v>
      </c>
      <c r="I47" s="2" t="s">
        <v>25</v>
      </c>
      <c r="J47" s="2" t="s">
        <v>759</v>
      </c>
      <c r="K47" s="6">
        <v>43606.0</v>
      </c>
      <c r="L47" s="2" t="s">
        <v>6246</v>
      </c>
    </row>
    <row r="48">
      <c r="A48" s="2" t="s">
        <v>6247</v>
      </c>
      <c r="B48" s="2" t="s">
        <v>6248</v>
      </c>
      <c r="C48" s="2" t="s">
        <v>185</v>
      </c>
      <c r="D48" s="2" t="s">
        <v>15</v>
      </c>
      <c r="E48" s="2" t="s">
        <v>16</v>
      </c>
      <c r="F48" s="3">
        <f>+5491162656613</f>
        <v>5491162656613</v>
      </c>
      <c r="G48" s="2" t="s">
        <v>6249</v>
      </c>
      <c r="H48" s="2" t="s">
        <v>32</v>
      </c>
      <c r="I48" s="2" t="s">
        <v>25</v>
      </c>
      <c r="J48" s="2" t="s">
        <v>759</v>
      </c>
      <c r="K48" s="6">
        <v>43572.0</v>
      </c>
      <c r="L48" s="2" t="s">
        <v>6250</v>
      </c>
    </row>
    <row r="49">
      <c r="A49" s="2" t="s">
        <v>6251</v>
      </c>
      <c r="B49" s="2" t="s">
        <v>6252</v>
      </c>
      <c r="C49" s="2" t="s">
        <v>14</v>
      </c>
      <c r="D49" s="2" t="s">
        <v>15</v>
      </c>
      <c r="E49" s="2" t="s">
        <v>16</v>
      </c>
      <c r="F49" s="3">
        <f>+541132608940</f>
        <v>541132608940</v>
      </c>
      <c r="G49" s="2" t="s">
        <v>6253</v>
      </c>
      <c r="H49" s="2" t="s">
        <v>32</v>
      </c>
      <c r="I49" s="2" t="s">
        <v>25</v>
      </c>
      <c r="J49" s="2" t="s">
        <v>594</v>
      </c>
      <c r="K49" s="6">
        <v>44005.0</v>
      </c>
      <c r="L49" s="2" t="s">
        <v>6254</v>
      </c>
    </row>
    <row r="50">
      <c r="A50" s="2" t="s">
        <v>6255</v>
      </c>
      <c r="B50" s="2" t="s">
        <v>6256</v>
      </c>
      <c r="C50" s="2" t="s">
        <v>14</v>
      </c>
      <c r="D50" s="2" t="s">
        <v>15</v>
      </c>
      <c r="E50" s="2" t="s">
        <v>16</v>
      </c>
      <c r="F50" s="3">
        <f>+5491132118021</f>
        <v>5491132118021</v>
      </c>
      <c r="G50" s="2" t="s">
        <v>6257</v>
      </c>
      <c r="H50" s="2" t="s">
        <v>32</v>
      </c>
      <c r="I50" s="2" t="s">
        <v>25</v>
      </c>
      <c r="J50" s="2" t="s">
        <v>33</v>
      </c>
      <c r="K50" s="6">
        <v>44096.0</v>
      </c>
      <c r="L50" s="2" t="s">
        <v>6258</v>
      </c>
    </row>
    <row r="51">
      <c r="A51" s="2" t="s">
        <v>6259</v>
      </c>
      <c r="B51" s="2" t="s">
        <v>6260</v>
      </c>
      <c r="C51" s="2" t="s">
        <v>831</v>
      </c>
      <c r="D51" s="2" t="s">
        <v>15</v>
      </c>
      <c r="E51" s="2" t="s">
        <v>16</v>
      </c>
      <c r="F51" s="3">
        <f>+541147816714</f>
        <v>541147816714</v>
      </c>
      <c r="G51" s="2" t="s">
        <v>6261</v>
      </c>
      <c r="H51" s="2" t="s">
        <v>32</v>
      </c>
      <c r="I51" s="2" t="s">
        <v>25</v>
      </c>
      <c r="J51" s="2" t="s">
        <v>594</v>
      </c>
      <c r="K51" s="6">
        <v>43942.0</v>
      </c>
      <c r="L51" s="2" t="s">
        <v>6262</v>
      </c>
    </row>
    <row r="52">
      <c r="A52" s="2" t="s">
        <v>6263</v>
      </c>
      <c r="B52" s="2" t="s">
        <v>6264</v>
      </c>
      <c r="C52" s="2" t="s">
        <v>14</v>
      </c>
      <c r="D52" s="2" t="s">
        <v>15</v>
      </c>
      <c r="E52" s="2" t="s">
        <v>16</v>
      </c>
      <c r="F52" s="3">
        <f>+5491132118021</f>
        <v>5491132118021</v>
      </c>
      <c r="G52" s="2" t="s">
        <v>6265</v>
      </c>
      <c r="H52" s="2" t="s">
        <v>32</v>
      </c>
      <c r="I52" s="2" t="s">
        <v>25</v>
      </c>
      <c r="J52" s="2" t="s">
        <v>759</v>
      </c>
      <c r="K52" s="6">
        <v>43663.0</v>
      </c>
      <c r="L52" s="2" t="s">
        <v>6266</v>
      </c>
    </row>
    <row r="53">
      <c r="A53" s="2" t="s">
        <v>6267</v>
      </c>
      <c r="B53" s="2" t="s">
        <v>6268</v>
      </c>
      <c r="C53" s="2" t="s">
        <v>14</v>
      </c>
      <c r="D53" s="2" t="s">
        <v>15</v>
      </c>
      <c r="E53" s="2" t="s">
        <v>23</v>
      </c>
      <c r="F53" s="3">
        <f>+5491153768281</f>
        <v>5491153768281</v>
      </c>
      <c r="G53" s="2" t="s">
        <v>6269</v>
      </c>
      <c r="H53" s="2" t="s">
        <v>32</v>
      </c>
      <c r="I53" s="2" t="s">
        <v>25</v>
      </c>
      <c r="J53" s="2" t="s">
        <v>33</v>
      </c>
      <c r="K53" s="5">
        <v>43762.0</v>
      </c>
      <c r="L53" s="2" t="s">
        <v>6270</v>
      </c>
    </row>
    <row r="54">
      <c r="A54" s="2" t="s">
        <v>6271</v>
      </c>
      <c r="B54" s="2" t="s">
        <v>6272</v>
      </c>
      <c r="C54" s="2" t="s">
        <v>533</v>
      </c>
      <c r="D54" s="2" t="s">
        <v>15</v>
      </c>
      <c r="E54" s="2" t="s">
        <v>16</v>
      </c>
      <c r="F54" s="3">
        <f>+5491128455156</f>
        <v>5491128455156</v>
      </c>
      <c r="G54" s="2" t="s">
        <v>6273</v>
      </c>
      <c r="H54" s="2" t="s">
        <v>32</v>
      </c>
      <c r="I54" s="2" t="s">
        <v>25</v>
      </c>
      <c r="J54" s="2" t="s">
        <v>594</v>
      </c>
      <c r="K54" s="5">
        <v>43799.0</v>
      </c>
      <c r="L54" s="2" t="s">
        <v>6274</v>
      </c>
    </row>
    <row r="55">
      <c r="A55" s="2" t="s">
        <v>6275</v>
      </c>
      <c r="B55" s="2" t="s">
        <v>6276</v>
      </c>
      <c r="C55" s="2" t="s">
        <v>14</v>
      </c>
      <c r="D55" s="2" t="s">
        <v>15</v>
      </c>
      <c r="E55" s="2" t="s">
        <v>16</v>
      </c>
      <c r="F55" s="3">
        <f>+5491156554536</f>
        <v>5491156554536</v>
      </c>
      <c r="G55" s="2" t="s">
        <v>6277</v>
      </c>
      <c r="H55" s="2" t="s">
        <v>32</v>
      </c>
      <c r="I55" s="2" t="s">
        <v>25</v>
      </c>
      <c r="J55" s="2" t="s">
        <v>33</v>
      </c>
      <c r="K55" s="6">
        <v>43003.0</v>
      </c>
      <c r="L55" s="2" t="s">
        <v>6278</v>
      </c>
    </row>
    <row r="56">
      <c r="A56" s="2" t="s">
        <v>6279</v>
      </c>
      <c r="B56" s="2" t="s">
        <v>6280</v>
      </c>
      <c r="C56" s="2" t="s">
        <v>831</v>
      </c>
      <c r="D56" s="2" t="s">
        <v>15</v>
      </c>
      <c r="E56" s="2" t="s">
        <v>16</v>
      </c>
      <c r="F56" s="3">
        <f>+541147780198</f>
        <v>541147780198</v>
      </c>
      <c r="G56" s="2" t="s">
        <v>6281</v>
      </c>
      <c r="H56" s="2" t="s">
        <v>32</v>
      </c>
      <c r="I56" s="2" t="s">
        <v>25</v>
      </c>
      <c r="J56" s="2" t="s">
        <v>33</v>
      </c>
      <c r="K56" s="6">
        <v>43914.0</v>
      </c>
      <c r="L56" s="2" t="s">
        <v>6282</v>
      </c>
    </row>
    <row r="57">
      <c r="A57" s="2" t="s">
        <v>6283</v>
      </c>
      <c r="B57" s="2" t="s">
        <v>6284</v>
      </c>
      <c r="C57" s="2" t="s">
        <v>14</v>
      </c>
      <c r="D57" s="2" t="s">
        <v>15</v>
      </c>
      <c r="E57" s="2" t="s">
        <v>16</v>
      </c>
      <c r="F57" s="3">
        <f>+541132608940</f>
        <v>541132608940</v>
      </c>
      <c r="G57" s="2" t="s">
        <v>6285</v>
      </c>
      <c r="H57" s="2" t="s">
        <v>32</v>
      </c>
      <c r="I57" s="2" t="s">
        <v>25</v>
      </c>
      <c r="J57" s="2" t="s">
        <v>33</v>
      </c>
      <c r="K57" s="6">
        <v>44006.0</v>
      </c>
      <c r="L57" s="2" t="s">
        <v>6286</v>
      </c>
    </row>
    <row r="58">
      <c r="A58" s="2" t="s">
        <v>6287</v>
      </c>
      <c r="B58" s="2" t="s">
        <v>6288</v>
      </c>
      <c r="C58" s="2" t="s">
        <v>185</v>
      </c>
      <c r="D58" s="2" t="s">
        <v>15</v>
      </c>
      <c r="E58" s="2" t="s">
        <v>16</v>
      </c>
      <c r="F58" s="3">
        <f>+5491131558406</f>
        <v>5491131558406</v>
      </c>
      <c r="G58" s="2" t="s">
        <v>6289</v>
      </c>
      <c r="H58" s="2" t="s">
        <v>32</v>
      </c>
      <c r="I58" s="2" t="s">
        <v>25</v>
      </c>
      <c r="J58" s="2" t="s">
        <v>594</v>
      </c>
      <c r="K58" s="6">
        <v>43575.0</v>
      </c>
      <c r="L58" s="2" t="s">
        <v>6290</v>
      </c>
    </row>
    <row r="59">
      <c r="A59" s="2" t="s">
        <v>6291</v>
      </c>
      <c r="B59" s="2" t="s">
        <v>6292</v>
      </c>
      <c r="C59" s="2" t="s">
        <v>14</v>
      </c>
      <c r="D59" s="2" t="s">
        <v>15</v>
      </c>
      <c r="E59" s="2" t="s">
        <v>16</v>
      </c>
      <c r="F59" s="3">
        <f>+5491137927975</f>
        <v>5491137927975</v>
      </c>
      <c r="G59" s="2" t="s">
        <v>6293</v>
      </c>
      <c r="H59" s="2" t="s">
        <v>32</v>
      </c>
      <c r="I59" s="2" t="s">
        <v>25</v>
      </c>
      <c r="J59" s="2" t="s">
        <v>33</v>
      </c>
      <c r="K59" s="6">
        <v>44208.0</v>
      </c>
      <c r="L59" s="2" t="s">
        <v>6294</v>
      </c>
    </row>
    <row r="60">
      <c r="A60" s="2" t="s">
        <v>6295</v>
      </c>
      <c r="B60" s="2" t="s">
        <v>6296</v>
      </c>
      <c r="C60" s="2" t="s">
        <v>185</v>
      </c>
      <c r="D60" s="2" t="s">
        <v>15</v>
      </c>
      <c r="E60" s="2" t="s">
        <v>16</v>
      </c>
      <c r="F60" s="3">
        <f>+5491164793429</f>
        <v>5491164793429</v>
      </c>
      <c r="G60" s="2" t="s">
        <v>6297</v>
      </c>
      <c r="H60" s="2" t="s">
        <v>32</v>
      </c>
      <c r="I60" s="2" t="s">
        <v>25</v>
      </c>
      <c r="J60" s="2" t="s">
        <v>33</v>
      </c>
      <c r="K60" s="6">
        <v>44039.0</v>
      </c>
      <c r="L60" s="2" t="s">
        <v>6298</v>
      </c>
    </row>
    <row r="61">
      <c r="A61" s="2" t="s">
        <v>6299</v>
      </c>
      <c r="B61" s="2" t="s">
        <v>6300</v>
      </c>
      <c r="C61" s="2" t="s">
        <v>14</v>
      </c>
      <c r="D61" s="2" t="s">
        <v>15</v>
      </c>
      <c r="E61" s="2" t="s">
        <v>23</v>
      </c>
      <c r="F61" s="3">
        <f>+541527022410</f>
        <v>541527022410</v>
      </c>
      <c r="G61" s="2" t="s">
        <v>6301</v>
      </c>
      <c r="H61" s="2" t="s">
        <v>32</v>
      </c>
      <c r="I61" s="2" t="s">
        <v>25</v>
      </c>
      <c r="J61" s="2" t="s">
        <v>33</v>
      </c>
      <c r="K61" s="5">
        <v>43784.0</v>
      </c>
      <c r="L61" s="2" t="s">
        <v>6302</v>
      </c>
    </row>
    <row r="62">
      <c r="A62" s="2" t="s">
        <v>6303</v>
      </c>
      <c r="B62" s="2" t="s">
        <v>6304</v>
      </c>
      <c r="C62" s="2" t="s">
        <v>14</v>
      </c>
      <c r="D62" s="2" t="s">
        <v>15</v>
      </c>
      <c r="E62" s="2" t="s">
        <v>23</v>
      </c>
      <c r="F62" s="3">
        <f>+5491135224775</f>
        <v>5491135224775</v>
      </c>
      <c r="G62" s="2" t="s">
        <v>6305</v>
      </c>
      <c r="H62" s="2" t="s">
        <v>32</v>
      </c>
      <c r="I62" s="2" t="s">
        <v>25</v>
      </c>
      <c r="J62" s="2" t="s">
        <v>33</v>
      </c>
      <c r="K62" s="6">
        <v>43840.0</v>
      </c>
      <c r="L62" s="2" t="s">
        <v>6306</v>
      </c>
    </row>
    <row r="63">
      <c r="A63" s="2" t="s">
        <v>6307</v>
      </c>
      <c r="B63" s="2" t="s">
        <v>6308</v>
      </c>
      <c r="C63" s="2" t="s">
        <v>831</v>
      </c>
      <c r="D63" s="2" t="s">
        <v>15</v>
      </c>
      <c r="E63" s="2" t="s">
        <v>16</v>
      </c>
      <c r="F63" s="3">
        <f>+541148215771</f>
        <v>541148215771</v>
      </c>
      <c r="G63" s="2" t="s">
        <v>6309</v>
      </c>
      <c r="H63" s="2" t="s">
        <v>32</v>
      </c>
      <c r="I63" s="2" t="s">
        <v>25</v>
      </c>
      <c r="J63" s="2" t="s">
        <v>33</v>
      </c>
      <c r="K63" s="6">
        <v>43942.0</v>
      </c>
      <c r="L63" s="2" t="s">
        <v>6310</v>
      </c>
    </row>
    <row r="64">
      <c r="A64" s="2" t="s">
        <v>6311</v>
      </c>
      <c r="B64" s="2" t="s">
        <v>6312</v>
      </c>
      <c r="C64" s="2" t="s">
        <v>831</v>
      </c>
      <c r="D64" s="2" t="s">
        <v>15</v>
      </c>
      <c r="E64" s="2" t="s">
        <v>16</v>
      </c>
      <c r="F64" s="3">
        <f>+541121039885</f>
        <v>541121039885</v>
      </c>
      <c r="G64" s="2" t="s">
        <v>6313</v>
      </c>
      <c r="H64" s="2" t="s">
        <v>32</v>
      </c>
      <c r="I64" s="2" t="s">
        <v>25</v>
      </c>
      <c r="J64" s="2" t="s">
        <v>759</v>
      </c>
      <c r="K64" s="6">
        <v>43942.0</v>
      </c>
      <c r="L64" s="2" t="s">
        <v>6314</v>
      </c>
    </row>
    <row r="65">
      <c r="A65" s="2" t="s">
        <v>6315</v>
      </c>
      <c r="B65" s="2" t="s">
        <v>6316</v>
      </c>
      <c r="C65" s="2" t="s">
        <v>831</v>
      </c>
      <c r="D65" s="2" t="s">
        <v>15</v>
      </c>
      <c r="E65" s="2" t="s">
        <v>16</v>
      </c>
      <c r="F65" s="3">
        <f>+541120995164</f>
        <v>541120995164</v>
      </c>
      <c r="G65" s="2" t="s">
        <v>6317</v>
      </c>
      <c r="H65" s="2" t="s">
        <v>32</v>
      </c>
      <c r="I65" s="2" t="s">
        <v>25</v>
      </c>
      <c r="J65" s="2" t="s">
        <v>759</v>
      </c>
      <c r="K65" s="6">
        <v>43942.0</v>
      </c>
      <c r="L65" s="2" t="s">
        <v>6318</v>
      </c>
    </row>
    <row r="66">
      <c r="A66" s="2" t="s">
        <v>6319</v>
      </c>
      <c r="B66" s="2" t="s">
        <v>6320</v>
      </c>
      <c r="C66" s="2" t="s">
        <v>831</v>
      </c>
      <c r="D66" s="2" t="s">
        <v>15</v>
      </c>
      <c r="E66" s="2" t="s">
        <v>16</v>
      </c>
      <c r="F66" s="3">
        <f>+5491139284040</f>
        <v>5491139284040</v>
      </c>
      <c r="G66" s="2" t="s">
        <v>6321</v>
      </c>
      <c r="H66" s="2" t="s">
        <v>32</v>
      </c>
      <c r="I66" s="2" t="s">
        <v>25</v>
      </c>
      <c r="J66" s="2" t="s">
        <v>594</v>
      </c>
      <c r="K66" s="6">
        <v>43979.0</v>
      </c>
      <c r="L66" s="2" t="s">
        <v>6322</v>
      </c>
    </row>
    <row r="67">
      <c r="A67" s="2" t="s">
        <v>6323</v>
      </c>
      <c r="B67" s="2" t="s">
        <v>6324</v>
      </c>
      <c r="C67" s="2" t="s">
        <v>14</v>
      </c>
      <c r="D67" s="2" t="s">
        <v>15</v>
      </c>
      <c r="E67" s="2" t="s">
        <v>16</v>
      </c>
      <c r="F67" s="3">
        <f>+541148961629</f>
        <v>541148961629</v>
      </c>
      <c r="G67" s="2" t="s">
        <v>6325</v>
      </c>
      <c r="H67" s="2" t="s">
        <v>32</v>
      </c>
      <c r="I67" s="2" t="s">
        <v>25</v>
      </c>
      <c r="J67" s="2" t="s">
        <v>594</v>
      </c>
      <c r="K67" s="5">
        <v>42690.0</v>
      </c>
      <c r="L67" s="2" t="s">
        <v>6326</v>
      </c>
    </row>
    <row r="68">
      <c r="A68" s="2" t="s">
        <v>6327</v>
      </c>
      <c r="B68" s="2" t="s">
        <v>6328</v>
      </c>
      <c r="C68" s="2" t="s">
        <v>185</v>
      </c>
      <c r="D68" s="2" t="s">
        <v>15</v>
      </c>
      <c r="E68" s="2" t="s">
        <v>16</v>
      </c>
      <c r="F68" s="3">
        <f t="shared" ref="F68:F69" si="1">+5491127138948</f>
        <v>5491127138948</v>
      </c>
      <c r="G68" s="2" t="s">
        <v>6329</v>
      </c>
      <c r="H68" s="2" t="s">
        <v>32</v>
      </c>
      <c r="I68" s="2" t="s">
        <v>25</v>
      </c>
      <c r="J68" s="2" t="s">
        <v>594</v>
      </c>
      <c r="K68" s="6">
        <v>44063.0</v>
      </c>
      <c r="L68" s="2" t="s">
        <v>6330</v>
      </c>
    </row>
    <row r="69">
      <c r="A69" s="2" t="s">
        <v>6331</v>
      </c>
      <c r="B69" s="2" t="s">
        <v>6332</v>
      </c>
      <c r="C69" s="2" t="s">
        <v>14</v>
      </c>
      <c r="D69" s="2" t="s">
        <v>15</v>
      </c>
      <c r="E69" s="2" t="s">
        <v>16</v>
      </c>
      <c r="F69" s="3">
        <f t="shared" si="1"/>
        <v>5491127138948</v>
      </c>
      <c r="G69" s="2" t="s">
        <v>6333</v>
      </c>
      <c r="H69" s="2" t="s">
        <v>32</v>
      </c>
      <c r="I69" s="2" t="s">
        <v>25</v>
      </c>
      <c r="J69" s="2" t="s">
        <v>594</v>
      </c>
      <c r="K69" s="6">
        <v>43692.0</v>
      </c>
      <c r="L69" s="2" t="s">
        <v>6334</v>
      </c>
    </row>
    <row r="70">
      <c r="A70" s="2" t="s">
        <v>6335</v>
      </c>
      <c r="B70" s="2" t="s">
        <v>6336</v>
      </c>
      <c r="C70" s="2" t="s">
        <v>14</v>
      </c>
      <c r="D70" s="2" t="s">
        <v>15</v>
      </c>
      <c r="E70" s="2" t="s">
        <v>16</v>
      </c>
      <c r="F70" s="3">
        <f>+5491155089893</f>
        <v>5491155089893</v>
      </c>
      <c r="G70" s="2" t="s">
        <v>6337</v>
      </c>
      <c r="H70" s="2" t="s">
        <v>32</v>
      </c>
      <c r="I70" s="2" t="s">
        <v>25</v>
      </c>
      <c r="J70" s="2" t="s">
        <v>594</v>
      </c>
      <c r="K70" s="6">
        <v>43950.0</v>
      </c>
      <c r="L70" s="2" t="s">
        <v>6338</v>
      </c>
    </row>
    <row r="71">
      <c r="A71" s="2" t="s">
        <v>6339</v>
      </c>
      <c r="B71" s="2" t="s">
        <v>6340</v>
      </c>
      <c r="C71" s="2" t="s">
        <v>14</v>
      </c>
      <c r="D71" s="2" t="s">
        <v>15</v>
      </c>
      <c r="E71" s="2" t="s">
        <v>16</v>
      </c>
      <c r="F71" s="3" t="str">
        <f>+549 115417-7889</f>
        <v>#ERROR!</v>
      </c>
      <c r="G71" s="2" t="s">
        <v>6341</v>
      </c>
      <c r="H71" s="2" t="s">
        <v>32</v>
      </c>
      <c r="I71" s="2" t="s">
        <v>25</v>
      </c>
      <c r="J71" s="2" t="s">
        <v>6342</v>
      </c>
      <c r="K71" s="5">
        <v>43032.0</v>
      </c>
      <c r="L71" s="2" t="s">
        <v>6343</v>
      </c>
    </row>
    <row r="72">
      <c r="A72" s="2" t="s">
        <v>6344</v>
      </c>
      <c r="B72" s="2" t="s">
        <v>6345</v>
      </c>
      <c r="C72" s="2" t="s">
        <v>14</v>
      </c>
      <c r="D72" s="2" t="s">
        <v>15</v>
      </c>
      <c r="E72" s="2" t="s">
        <v>16</v>
      </c>
      <c r="F72" s="3">
        <f>+541125602222</f>
        <v>541125602222</v>
      </c>
      <c r="G72" s="2" t="s">
        <v>6346</v>
      </c>
      <c r="H72" s="2" t="s">
        <v>32</v>
      </c>
      <c r="I72" s="2" t="s">
        <v>25</v>
      </c>
      <c r="J72" s="2" t="s">
        <v>759</v>
      </c>
      <c r="K72" s="6">
        <v>43956.0</v>
      </c>
      <c r="L72" s="2" t="s">
        <v>6347</v>
      </c>
    </row>
    <row r="73">
      <c r="A73" s="2" t="s">
        <v>6348</v>
      </c>
      <c r="B73" s="2" t="s">
        <v>6349</v>
      </c>
      <c r="C73" s="2" t="s">
        <v>14</v>
      </c>
      <c r="D73" s="2" t="s">
        <v>15</v>
      </c>
      <c r="E73" s="2" t="s">
        <v>23</v>
      </c>
      <c r="F73" s="3">
        <f>+541157066439</f>
        <v>541157066439</v>
      </c>
      <c r="G73" s="2" t="s">
        <v>6350</v>
      </c>
      <c r="H73" s="2" t="s">
        <v>32</v>
      </c>
      <c r="I73" s="2" t="s">
        <v>25</v>
      </c>
      <c r="J73" s="2" t="s">
        <v>33</v>
      </c>
      <c r="K73" s="6">
        <v>41850.0</v>
      </c>
      <c r="L73" s="2" t="s">
        <v>6351</v>
      </c>
    </row>
    <row r="74">
      <c r="A74" s="2" t="s">
        <v>6352</v>
      </c>
      <c r="B74" s="2" t="s">
        <v>6353</v>
      </c>
      <c r="C74" s="2" t="s">
        <v>14</v>
      </c>
      <c r="D74" s="2" t="s">
        <v>15</v>
      </c>
      <c r="E74" s="2" t="s">
        <v>16</v>
      </c>
      <c r="F74" s="3">
        <f>+5491134906934</f>
        <v>5491134906934</v>
      </c>
      <c r="G74" s="2" t="s">
        <v>6354</v>
      </c>
      <c r="H74" s="2" t="s">
        <v>32</v>
      </c>
      <c r="I74" s="2" t="s">
        <v>25</v>
      </c>
      <c r="J74" s="2" t="s">
        <v>33</v>
      </c>
      <c r="K74" s="6">
        <v>43510.0</v>
      </c>
      <c r="L74" s="2" t="s">
        <v>6355</v>
      </c>
    </row>
    <row r="75">
      <c r="A75" s="2" t="s">
        <v>6356</v>
      </c>
      <c r="B75" s="2" t="s">
        <v>6357</v>
      </c>
      <c r="C75" s="2" t="s">
        <v>831</v>
      </c>
      <c r="D75" s="2" t="s">
        <v>15</v>
      </c>
      <c r="E75" s="2" t="s">
        <v>16</v>
      </c>
      <c r="F75" s="3">
        <f>+541147873977</f>
        <v>541147873977</v>
      </c>
      <c r="G75" s="2" t="s">
        <v>6358</v>
      </c>
      <c r="H75" s="2" t="s">
        <v>32</v>
      </c>
      <c r="I75" s="2" t="s">
        <v>25</v>
      </c>
      <c r="J75" s="2" t="s">
        <v>594</v>
      </c>
      <c r="K75" s="6">
        <v>44343.0</v>
      </c>
      <c r="L75" s="2" t="s">
        <v>6359</v>
      </c>
    </row>
    <row r="76">
      <c r="A76" s="2" t="s">
        <v>6360</v>
      </c>
      <c r="B76" s="2" t="s">
        <v>6361</v>
      </c>
      <c r="C76" s="2" t="s">
        <v>14</v>
      </c>
      <c r="D76" s="2" t="s">
        <v>15</v>
      </c>
      <c r="E76" s="2" t="s">
        <v>23</v>
      </c>
      <c r="F76" s="3">
        <f>+541165531685</f>
        <v>541165531685</v>
      </c>
      <c r="G76" s="2" t="s">
        <v>6362</v>
      </c>
      <c r="H76" s="2" t="s">
        <v>32</v>
      </c>
      <c r="I76" s="2" t="s">
        <v>25</v>
      </c>
      <c r="J76" s="2" t="s">
        <v>759</v>
      </c>
      <c r="K76" s="5">
        <v>44490.0</v>
      </c>
      <c r="L76" s="2" t="s">
        <v>6363</v>
      </c>
    </row>
    <row r="77">
      <c r="A77" s="2" t="s">
        <v>6364</v>
      </c>
      <c r="B77" s="2" t="s">
        <v>6365</v>
      </c>
      <c r="C77" s="2" t="s">
        <v>831</v>
      </c>
      <c r="D77" s="2" t="s">
        <v>15</v>
      </c>
      <c r="E77" s="2" t="s">
        <v>23</v>
      </c>
      <c r="F77" s="3">
        <f>+5491134216474</f>
        <v>5491134216474</v>
      </c>
      <c r="G77" s="2" t="s">
        <v>6366</v>
      </c>
      <c r="H77" s="2" t="s">
        <v>32</v>
      </c>
      <c r="I77" s="2" t="s">
        <v>25</v>
      </c>
      <c r="J77" s="2" t="s">
        <v>759</v>
      </c>
      <c r="K77" s="6">
        <v>44581.0</v>
      </c>
      <c r="L77" s="2" t="s">
        <v>6367</v>
      </c>
    </row>
    <row r="78">
      <c r="A78" s="2" t="s">
        <v>6368</v>
      </c>
      <c r="B78" s="2" t="s">
        <v>6369</v>
      </c>
      <c r="C78" s="2" t="s">
        <v>14</v>
      </c>
      <c r="D78" s="2" t="s">
        <v>15</v>
      </c>
      <c r="E78" s="2" t="s">
        <v>16</v>
      </c>
      <c r="F78" s="3">
        <f>+5491160302278</f>
        <v>5491160302278</v>
      </c>
      <c r="G78" s="2" t="s">
        <v>6370</v>
      </c>
      <c r="H78" s="2" t="s">
        <v>32</v>
      </c>
      <c r="I78" s="2" t="s">
        <v>25</v>
      </c>
      <c r="J78" s="2" t="s">
        <v>759</v>
      </c>
      <c r="K78" s="6">
        <v>44736.0</v>
      </c>
      <c r="L78" s="2" t="s">
        <v>6371</v>
      </c>
    </row>
  </sheetData>
  <autoFilter ref="$A$1:$L$78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</cols>
  <sheetData>
    <row r="1">
      <c r="A1" s="10" t="s">
        <v>6372</v>
      </c>
      <c r="B1" s="10" t="s">
        <v>6373</v>
      </c>
      <c r="C1" s="10" t="s">
        <v>6374</v>
      </c>
      <c r="D1" s="10" t="s">
        <v>6375</v>
      </c>
      <c r="E1" s="10" t="s">
        <v>6376</v>
      </c>
      <c r="F1" s="10" t="s">
        <v>6377</v>
      </c>
      <c r="G1" s="10" t="s">
        <v>6378</v>
      </c>
      <c r="H1" s="10" t="s">
        <v>6379</v>
      </c>
      <c r="I1" s="10" t="s">
        <v>6380</v>
      </c>
      <c r="J1" s="10" t="s">
        <v>6381</v>
      </c>
      <c r="K1" s="10" t="s">
        <v>6382</v>
      </c>
      <c r="L1" s="10" t="s">
        <v>6383</v>
      </c>
      <c r="M1" s="10" t="s">
        <v>6384</v>
      </c>
      <c r="N1" s="10" t="s">
        <v>6385</v>
      </c>
    </row>
    <row r="2">
      <c r="A2" s="8">
        <v>598383.0</v>
      </c>
      <c r="B2" s="7" t="s">
        <v>6386</v>
      </c>
      <c r="C2" s="7" t="s">
        <v>6387</v>
      </c>
      <c r="D2" s="7" t="s">
        <v>185</v>
      </c>
      <c r="E2" s="7" t="s">
        <v>16</v>
      </c>
      <c r="F2" s="7" t="s">
        <v>16</v>
      </c>
      <c r="G2" s="7" t="s">
        <v>6388</v>
      </c>
      <c r="H2" s="7" t="s">
        <v>6389</v>
      </c>
      <c r="I2" s="7" t="s">
        <v>25</v>
      </c>
      <c r="J2" s="7" t="s">
        <v>49</v>
      </c>
      <c r="K2" s="7" t="s">
        <v>1631</v>
      </c>
      <c r="L2" s="11">
        <v>46057.0</v>
      </c>
      <c r="M2" s="7" t="s">
        <v>6390</v>
      </c>
      <c r="N2" s="7" t="s">
        <v>6391</v>
      </c>
    </row>
    <row r="3">
      <c r="A3" s="8">
        <v>559742.0</v>
      </c>
      <c r="B3" s="7" t="s">
        <v>6392</v>
      </c>
      <c r="C3" s="7" t="s">
        <v>6393</v>
      </c>
      <c r="D3" s="7" t="s">
        <v>185</v>
      </c>
      <c r="E3" s="7" t="s">
        <v>16</v>
      </c>
      <c r="F3" s="7" t="s">
        <v>16</v>
      </c>
      <c r="G3" s="7" t="s">
        <v>6394</v>
      </c>
      <c r="H3" s="7" t="s">
        <v>6395</v>
      </c>
      <c r="I3" s="7" t="s">
        <v>32</v>
      </c>
      <c r="J3" s="7" t="s">
        <v>25</v>
      </c>
      <c r="K3" s="7" t="s">
        <v>1037</v>
      </c>
      <c r="L3" s="11">
        <v>45839.0</v>
      </c>
      <c r="M3" s="7" t="s">
        <v>6396</v>
      </c>
      <c r="N3" s="7" t="s">
        <v>6391</v>
      </c>
    </row>
    <row r="4">
      <c r="A4" s="8">
        <v>559735.0</v>
      </c>
      <c r="B4" s="7" t="s">
        <v>6397</v>
      </c>
      <c r="C4" s="7" t="s">
        <v>6398</v>
      </c>
      <c r="D4" s="7" t="s">
        <v>185</v>
      </c>
      <c r="E4" s="7" t="s">
        <v>16</v>
      </c>
      <c r="F4" s="7" t="s">
        <v>16</v>
      </c>
      <c r="G4" s="7" t="s">
        <v>6399</v>
      </c>
      <c r="H4" s="7" t="s">
        <v>6400</v>
      </c>
      <c r="I4" s="7" t="s">
        <v>25</v>
      </c>
      <c r="J4" s="7" t="s">
        <v>160</v>
      </c>
      <c r="K4" s="7" t="s">
        <v>160</v>
      </c>
      <c r="L4" s="11">
        <v>45839.0</v>
      </c>
      <c r="M4" s="7" t="s">
        <v>6401</v>
      </c>
      <c r="N4" s="7" t="s">
        <v>6391</v>
      </c>
    </row>
    <row r="5">
      <c r="A5" s="8">
        <v>555029.0</v>
      </c>
      <c r="B5" s="7" t="s">
        <v>6402</v>
      </c>
      <c r="C5" s="7" t="s">
        <v>6403</v>
      </c>
      <c r="D5" s="7" t="s">
        <v>185</v>
      </c>
      <c r="E5" s="7" t="s">
        <v>16</v>
      </c>
      <c r="F5" s="7" t="s">
        <v>16</v>
      </c>
      <c r="G5" s="7" t="s">
        <v>6394</v>
      </c>
      <c r="H5" s="7" t="s">
        <v>6404</v>
      </c>
      <c r="I5" s="7" t="s">
        <v>25</v>
      </c>
      <c r="J5" s="7" t="s">
        <v>44</v>
      </c>
      <c r="K5" s="7" t="s">
        <v>468</v>
      </c>
      <c r="L5" s="11">
        <v>45832.0</v>
      </c>
      <c r="M5" s="7" t="s">
        <v>6405</v>
      </c>
      <c r="N5" s="7" t="s">
        <v>6391</v>
      </c>
    </row>
    <row r="6">
      <c r="A6" s="8">
        <v>573545.0</v>
      </c>
      <c r="B6" s="7" t="s">
        <v>6406</v>
      </c>
      <c r="C6" s="7" t="s">
        <v>6407</v>
      </c>
      <c r="D6" s="7" t="s">
        <v>185</v>
      </c>
      <c r="E6" s="7" t="s">
        <v>16</v>
      </c>
      <c r="F6" s="7" t="s">
        <v>16</v>
      </c>
      <c r="G6" s="7" t="s">
        <v>6394</v>
      </c>
      <c r="H6" s="7" t="s">
        <v>6408</v>
      </c>
      <c r="I6" s="7" t="s">
        <v>25</v>
      </c>
      <c r="J6" s="7" t="s">
        <v>246</v>
      </c>
      <c r="K6" s="7" t="s">
        <v>2018</v>
      </c>
      <c r="L6" s="11">
        <v>45923.0</v>
      </c>
      <c r="M6" s="7" t="s">
        <v>6409</v>
      </c>
      <c r="N6" s="7" t="s">
        <v>6391</v>
      </c>
    </row>
    <row r="7">
      <c r="A7" s="8">
        <v>583591.0</v>
      </c>
      <c r="B7" s="7" t="s">
        <v>6410</v>
      </c>
      <c r="C7" s="7" t="s">
        <v>6411</v>
      </c>
      <c r="D7" s="7" t="s">
        <v>185</v>
      </c>
      <c r="E7" s="7" t="s">
        <v>16</v>
      </c>
      <c r="F7" s="7" t="s">
        <v>16</v>
      </c>
      <c r="G7" s="7" t="s">
        <v>6388</v>
      </c>
      <c r="H7" s="7" t="s">
        <v>6412</v>
      </c>
      <c r="I7" s="7" t="s">
        <v>25</v>
      </c>
      <c r="J7" s="7" t="s">
        <v>6413</v>
      </c>
      <c r="K7" s="7" t="s">
        <v>6414</v>
      </c>
      <c r="L7" s="11">
        <v>46051.0</v>
      </c>
      <c r="M7" s="7" t="s">
        <v>6415</v>
      </c>
      <c r="N7" s="7" t="s">
        <v>6391</v>
      </c>
    </row>
    <row r="8">
      <c r="A8" s="8">
        <v>336968.0</v>
      </c>
      <c r="B8" s="7" t="s">
        <v>6416</v>
      </c>
      <c r="C8" s="7" t="s">
        <v>6417</v>
      </c>
      <c r="D8" s="7" t="s">
        <v>185</v>
      </c>
      <c r="E8" s="7" t="s">
        <v>16</v>
      </c>
      <c r="F8" s="7" t="s">
        <v>16</v>
      </c>
      <c r="G8" s="7" t="s">
        <v>6418</v>
      </c>
      <c r="H8" s="7" t="s">
        <v>6419</v>
      </c>
      <c r="I8" s="7" t="s">
        <v>25</v>
      </c>
      <c r="J8" s="7" t="s">
        <v>1920</v>
      </c>
      <c r="K8" s="7" t="s">
        <v>1920</v>
      </c>
      <c r="L8" s="11">
        <v>44657.0</v>
      </c>
      <c r="M8" s="7" t="s">
        <v>6420</v>
      </c>
      <c r="N8" s="7" t="s">
        <v>6391</v>
      </c>
    </row>
    <row r="9">
      <c r="A9" s="8">
        <v>421933.0</v>
      </c>
      <c r="B9" s="7" t="s">
        <v>6421</v>
      </c>
      <c r="C9" s="7" t="s">
        <v>6422</v>
      </c>
      <c r="D9" s="7" t="s">
        <v>185</v>
      </c>
      <c r="E9" s="7" t="s">
        <v>16</v>
      </c>
      <c r="F9" s="7" t="s">
        <v>16</v>
      </c>
      <c r="G9" s="7" t="s">
        <v>6423</v>
      </c>
      <c r="H9" s="7" t="s">
        <v>6424</v>
      </c>
      <c r="I9" s="7" t="s">
        <v>32</v>
      </c>
      <c r="J9" s="7" t="s">
        <v>25</v>
      </c>
      <c r="K9" s="7" t="s">
        <v>594</v>
      </c>
      <c r="L9" s="11">
        <v>45029.0</v>
      </c>
      <c r="M9" s="7" t="s">
        <v>6425</v>
      </c>
      <c r="N9" s="7" t="s">
        <v>6391</v>
      </c>
    </row>
    <row r="10">
      <c r="A10" s="8">
        <v>510051.0</v>
      </c>
      <c r="B10" s="7" t="s">
        <v>6426</v>
      </c>
      <c r="C10" s="7" t="s">
        <v>6427</v>
      </c>
      <c r="D10" s="7" t="s">
        <v>185</v>
      </c>
      <c r="E10" s="7" t="s">
        <v>16</v>
      </c>
      <c r="F10" s="7" t="s">
        <v>16</v>
      </c>
      <c r="G10" s="7" t="s">
        <v>6388</v>
      </c>
      <c r="H10" s="7" t="s">
        <v>6428</v>
      </c>
      <c r="I10" s="7" t="s">
        <v>32</v>
      </c>
      <c r="J10" s="7" t="s">
        <v>25</v>
      </c>
      <c r="K10" s="7" t="s">
        <v>320</v>
      </c>
      <c r="L10" s="11">
        <v>46071.0</v>
      </c>
      <c r="M10" s="7" t="s">
        <v>6429</v>
      </c>
      <c r="N10" s="7" t="s">
        <v>6391</v>
      </c>
    </row>
    <row r="11">
      <c r="A11" s="8">
        <v>510397.0</v>
      </c>
      <c r="B11" s="7" t="s">
        <v>6430</v>
      </c>
      <c r="C11" s="7" t="s">
        <v>6431</v>
      </c>
      <c r="D11" s="7" t="s">
        <v>185</v>
      </c>
      <c r="E11" s="7" t="s">
        <v>16</v>
      </c>
      <c r="F11" s="7" t="s">
        <v>16</v>
      </c>
      <c r="G11" s="7" t="s">
        <v>6432</v>
      </c>
      <c r="H11" s="7" t="s">
        <v>6433</v>
      </c>
      <c r="I11" s="7" t="s">
        <v>25</v>
      </c>
      <c r="J11" s="7" t="s">
        <v>203</v>
      </c>
      <c r="K11" s="7" t="s">
        <v>246</v>
      </c>
      <c r="L11" s="11">
        <v>45938.0</v>
      </c>
      <c r="M11" s="7" t="s">
        <v>6434</v>
      </c>
      <c r="N11" s="7" t="s">
        <v>6391</v>
      </c>
    </row>
    <row r="12">
      <c r="A12" s="8">
        <v>510506.0</v>
      </c>
      <c r="B12" s="7" t="s">
        <v>6435</v>
      </c>
      <c r="C12" s="7" t="s">
        <v>6436</v>
      </c>
      <c r="D12" s="7" t="s">
        <v>185</v>
      </c>
      <c r="E12" s="7" t="s">
        <v>16</v>
      </c>
      <c r="F12" s="7" t="s">
        <v>16</v>
      </c>
      <c r="G12" s="7" t="s">
        <v>6432</v>
      </c>
      <c r="H12" s="7" t="s">
        <v>6437</v>
      </c>
      <c r="I12" s="7" t="s">
        <v>25</v>
      </c>
      <c r="J12" s="7" t="s">
        <v>957</v>
      </c>
      <c r="K12" s="7" t="s">
        <v>957</v>
      </c>
      <c r="L12" s="11">
        <v>45923.0</v>
      </c>
      <c r="M12" s="7" t="s">
        <v>6438</v>
      </c>
      <c r="N12" s="7" t="s">
        <v>6391</v>
      </c>
    </row>
    <row r="13">
      <c r="A13" s="8">
        <v>171071.0</v>
      </c>
      <c r="B13" s="7" t="s">
        <v>6439</v>
      </c>
      <c r="C13" s="7" t="s">
        <v>6440</v>
      </c>
      <c r="D13" s="7" t="s">
        <v>185</v>
      </c>
      <c r="E13" s="7" t="s">
        <v>16</v>
      </c>
      <c r="F13" s="7" t="s">
        <v>16</v>
      </c>
      <c r="G13" s="7" t="s">
        <v>6441</v>
      </c>
      <c r="H13" s="7" t="s">
        <v>6442</v>
      </c>
      <c r="I13" s="7" t="s">
        <v>25</v>
      </c>
      <c r="J13" s="7" t="s">
        <v>841</v>
      </c>
      <c r="K13" s="7" t="s">
        <v>219</v>
      </c>
      <c r="L13" s="11">
        <v>44046.0</v>
      </c>
      <c r="M13" s="7" t="s">
        <v>6443</v>
      </c>
      <c r="N13" s="7" t="s">
        <v>6444</v>
      </c>
    </row>
    <row r="14">
      <c r="A14" s="8">
        <v>478795.0</v>
      </c>
      <c r="B14" s="7" t="s">
        <v>6445</v>
      </c>
      <c r="C14" s="7" t="s">
        <v>6446</v>
      </c>
      <c r="D14" s="7" t="s">
        <v>185</v>
      </c>
      <c r="E14" s="7" t="s">
        <v>16</v>
      </c>
      <c r="F14" s="7" t="s">
        <v>16</v>
      </c>
      <c r="G14" s="7" t="s">
        <v>6447</v>
      </c>
      <c r="H14" s="7" t="s">
        <v>6448</v>
      </c>
      <c r="I14" s="7" t="s">
        <v>32</v>
      </c>
      <c r="J14" s="7" t="s">
        <v>25</v>
      </c>
      <c r="K14" s="7" t="s">
        <v>373</v>
      </c>
      <c r="L14" s="11">
        <v>45309.0</v>
      </c>
      <c r="M14" s="7" t="s">
        <v>6449</v>
      </c>
      <c r="N14" s="7" t="s">
        <v>6391</v>
      </c>
    </row>
    <row r="15">
      <c r="A15" s="8">
        <v>329460.0</v>
      </c>
      <c r="B15" s="7" t="s">
        <v>6450</v>
      </c>
      <c r="C15" s="7" t="s">
        <v>6451</v>
      </c>
      <c r="D15" s="7" t="s">
        <v>185</v>
      </c>
      <c r="E15" s="7" t="s">
        <v>16</v>
      </c>
      <c r="F15" s="7" t="s">
        <v>16</v>
      </c>
      <c r="G15" s="7" t="s">
        <v>6452</v>
      </c>
      <c r="H15" s="7" t="s">
        <v>6453</v>
      </c>
      <c r="I15" s="7" t="s">
        <v>25</v>
      </c>
      <c r="J15" s="7" t="s">
        <v>1349</v>
      </c>
      <c r="K15" s="7" t="s">
        <v>2190</v>
      </c>
      <c r="L15" s="11">
        <v>44624.0</v>
      </c>
      <c r="M15" s="7" t="s">
        <v>6454</v>
      </c>
      <c r="N15" s="7" t="s">
        <v>6391</v>
      </c>
    </row>
    <row r="16">
      <c r="A16" s="8">
        <v>133937.0</v>
      </c>
      <c r="B16" s="7" t="s">
        <v>6455</v>
      </c>
      <c r="C16" s="7" t="s">
        <v>6456</v>
      </c>
      <c r="D16" s="7" t="s">
        <v>185</v>
      </c>
      <c r="E16" s="7" t="s">
        <v>16</v>
      </c>
      <c r="F16" s="7" t="s">
        <v>16</v>
      </c>
      <c r="G16" s="7" t="s">
        <v>6457</v>
      </c>
      <c r="H16" s="7" t="s">
        <v>6458</v>
      </c>
      <c r="I16" s="7" t="s">
        <v>25</v>
      </c>
      <c r="J16" s="7" t="s">
        <v>649</v>
      </c>
      <c r="K16" s="7" t="s">
        <v>219</v>
      </c>
      <c r="L16" s="11">
        <v>43843.0</v>
      </c>
      <c r="M16" s="7" t="s">
        <v>6459</v>
      </c>
      <c r="N16" s="7" t="s">
        <v>6391</v>
      </c>
    </row>
    <row r="17">
      <c r="A17" s="8">
        <v>546975.0</v>
      </c>
      <c r="B17" s="7" t="s">
        <v>6460</v>
      </c>
      <c r="C17" s="7" t="s">
        <v>6461</v>
      </c>
      <c r="D17" s="7" t="s">
        <v>185</v>
      </c>
      <c r="E17" s="7" t="s">
        <v>16</v>
      </c>
      <c r="F17" s="7" t="s">
        <v>16</v>
      </c>
      <c r="G17" s="7" t="s">
        <v>6462</v>
      </c>
      <c r="H17" s="7" t="s">
        <v>6463</v>
      </c>
      <c r="I17" s="7" t="s">
        <v>25</v>
      </c>
      <c r="J17" s="7" t="s">
        <v>118</v>
      </c>
      <c r="K17" s="7" t="s">
        <v>381</v>
      </c>
      <c r="L17" s="11">
        <v>45848.0</v>
      </c>
      <c r="M17" s="7" t="s">
        <v>6464</v>
      </c>
      <c r="N17" s="7" t="s">
        <v>6391</v>
      </c>
    </row>
    <row r="18">
      <c r="A18" s="8">
        <v>539448.0</v>
      </c>
      <c r="B18" s="7" t="s">
        <v>6465</v>
      </c>
      <c r="C18" s="7" t="s">
        <v>6466</v>
      </c>
      <c r="D18" s="7" t="s">
        <v>185</v>
      </c>
      <c r="E18" s="7" t="s">
        <v>16</v>
      </c>
      <c r="F18" s="7" t="s">
        <v>16</v>
      </c>
      <c r="G18" s="7" t="s">
        <v>6467</v>
      </c>
      <c r="H18" s="7" t="s">
        <v>6468</v>
      </c>
      <c r="I18" s="7" t="s">
        <v>32</v>
      </c>
      <c r="J18" s="7" t="s">
        <v>25</v>
      </c>
      <c r="K18" s="7" t="s">
        <v>1593</v>
      </c>
      <c r="L18" s="11">
        <v>45747.0</v>
      </c>
      <c r="M18" s="7" t="s">
        <v>6469</v>
      </c>
      <c r="N18" s="7" t="s">
        <v>6391</v>
      </c>
    </row>
    <row r="19">
      <c r="A19" s="8">
        <v>359485.0</v>
      </c>
      <c r="B19" s="7" t="s">
        <v>6470</v>
      </c>
      <c r="C19" s="7" t="s">
        <v>6471</v>
      </c>
      <c r="D19" s="7" t="s">
        <v>185</v>
      </c>
      <c r="E19" s="7" t="s">
        <v>16</v>
      </c>
      <c r="F19" s="7" t="s">
        <v>16</v>
      </c>
      <c r="G19" s="7" t="s">
        <v>6472</v>
      </c>
      <c r="H19" s="7" t="s">
        <v>6473</v>
      </c>
      <c r="I19" s="7" t="s">
        <v>25</v>
      </c>
      <c r="J19" s="7" t="s">
        <v>78</v>
      </c>
      <c r="K19" s="7" t="s">
        <v>78</v>
      </c>
      <c r="L19" s="11">
        <v>44742.0</v>
      </c>
      <c r="M19" s="7" t="s">
        <v>6474</v>
      </c>
      <c r="N19" s="7" t="s">
        <v>6391</v>
      </c>
    </row>
    <row r="20" hidden="1">
      <c r="A20" s="8">
        <v>346157.0</v>
      </c>
      <c r="B20" s="7" t="s">
        <v>6475</v>
      </c>
      <c r="C20" s="7" t="s">
        <v>6476</v>
      </c>
      <c r="D20" s="7" t="s">
        <v>185</v>
      </c>
      <c r="E20" s="7" t="s">
        <v>16</v>
      </c>
      <c r="F20" s="7" t="s">
        <v>16</v>
      </c>
      <c r="G20" s="7" t="s">
        <v>6477</v>
      </c>
      <c r="H20" s="7" t="s">
        <v>6478</v>
      </c>
      <c r="I20" s="7" t="s">
        <v>18</v>
      </c>
      <c r="J20" s="7" t="s">
        <v>6479</v>
      </c>
      <c r="K20" s="7" t="s">
        <v>6480</v>
      </c>
      <c r="L20" s="11">
        <v>44697.0</v>
      </c>
      <c r="M20" s="7" t="s">
        <v>6481</v>
      </c>
      <c r="N20" s="12" t="s">
        <v>6482</v>
      </c>
    </row>
    <row r="21">
      <c r="A21" s="8">
        <v>342401.0</v>
      </c>
      <c r="B21" s="7" t="s">
        <v>6483</v>
      </c>
      <c r="C21" s="7" t="s">
        <v>6484</v>
      </c>
      <c r="D21" s="7" t="s">
        <v>185</v>
      </c>
      <c r="E21" s="7" t="s">
        <v>16</v>
      </c>
      <c r="F21" s="7" t="s">
        <v>16</v>
      </c>
      <c r="G21" s="7" t="s">
        <v>6485</v>
      </c>
      <c r="H21" s="7" t="s">
        <v>6486</v>
      </c>
      <c r="I21" s="7" t="s">
        <v>25</v>
      </c>
      <c r="J21" s="7" t="s">
        <v>84</v>
      </c>
      <c r="K21" s="7" t="s">
        <v>2078</v>
      </c>
      <c r="L21" s="11">
        <v>44683.0</v>
      </c>
      <c r="M21" s="7" t="s">
        <v>6487</v>
      </c>
      <c r="N21" s="7" t="s">
        <v>6391</v>
      </c>
    </row>
    <row r="22">
      <c r="A22" s="8">
        <v>340840.0</v>
      </c>
      <c r="B22" s="7" t="s">
        <v>6488</v>
      </c>
      <c r="C22" s="7" t="s">
        <v>6489</v>
      </c>
      <c r="D22" s="7" t="s">
        <v>185</v>
      </c>
      <c r="E22" s="7" t="s">
        <v>16</v>
      </c>
      <c r="F22" s="7" t="s">
        <v>16</v>
      </c>
      <c r="G22" s="7" t="s">
        <v>6490</v>
      </c>
      <c r="H22" s="7" t="s">
        <v>6491</v>
      </c>
      <c r="I22" s="7" t="s">
        <v>25</v>
      </c>
      <c r="J22" s="7" t="s">
        <v>357</v>
      </c>
      <c r="K22" s="7" t="s">
        <v>357</v>
      </c>
      <c r="L22" s="11">
        <v>44676.0</v>
      </c>
      <c r="M22" s="7" t="s">
        <v>6492</v>
      </c>
      <c r="N22" s="7" t="s">
        <v>6391</v>
      </c>
    </row>
    <row r="23">
      <c r="A23" s="8">
        <v>340839.0</v>
      </c>
      <c r="B23" s="7" t="s">
        <v>6493</v>
      </c>
      <c r="C23" s="7" t="s">
        <v>6494</v>
      </c>
      <c r="D23" s="7" t="s">
        <v>185</v>
      </c>
      <c r="E23" s="7" t="s">
        <v>16</v>
      </c>
      <c r="F23" s="7" t="s">
        <v>16</v>
      </c>
      <c r="G23" s="7" t="s">
        <v>6495</v>
      </c>
      <c r="H23" s="7" t="s">
        <v>6496</v>
      </c>
      <c r="I23" s="7" t="s">
        <v>25</v>
      </c>
      <c r="J23" s="7" t="s">
        <v>26</v>
      </c>
      <c r="K23" s="7" t="s">
        <v>428</v>
      </c>
      <c r="L23" s="11">
        <v>44676.0</v>
      </c>
      <c r="M23" s="7" t="s">
        <v>6497</v>
      </c>
      <c r="N23" s="7" t="s">
        <v>6391</v>
      </c>
    </row>
    <row r="24">
      <c r="A24" s="8">
        <v>401047.0</v>
      </c>
      <c r="B24" s="7" t="s">
        <v>6498</v>
      </c>
      <c r="C24" s="7" t="s">
        <v>6499</v>
      </c>
      <c r="D24" s="7" t="s">
        <v>185</v>
      </c>
      <c r="E24" s="7" t="s">
        <v>16</v>
      </c>
      <c r="F24" s="7" t="s">
        <v>16</v>
      </c>
      <c r="G24" s="7" t="s">
        <v>6500</v>
      </c>
      <c r="H24" s="7" t="s">
        <v>6501</v>
      </c>
      <c r="I24" s="7" t="s">
        <v>71</v>
      </c>
      <c r="J24" s="7" t="s">
        <v>71</v>
      </c>
      <c r="K24" s="7" t="s">
        <v>1302</v>
      </c>
      <c r="L24" s="11">
        <v>44922.0</v>
      </c>
      <c r="M24" s="7" t="s">
        <v>6502</v>
      </c>
      <c r="N24" s="7" t="s">
        <v>6444</v>
      </c>
    </row>
    <row r="25">
      <c r="A25" s="8">
        <v>309673.0</v>
      </c>
      <c r="B25" s="7" t="s">
        <v>6503</v>
      </c>
      <c r="C25" s="7" t="s">
        <v>6504</v>
      </c>
      <c r="D25" s="7" t="s">
        <v>185</v>
      </c>
      <c r="E25" s="7" t="s">
        <v>16</v>
      </c>
      <c r="F25" s="7" t="s">
        <v>16</v>
      </c>
      <c r="G25" s="7" t="s">
        <v>6505</v>
      </c>
      <c r="H25" s="7" t="s">
        <v>6506</v>
      </c>
      <c r="I25" s="7" t="s">
        <v>25</v>
      </c>
      <c r="J25" s="7" t="s">
        <v>314</v>
      </c>
      <c r="K25" s="7" t="s">
        <v>814</v>
      </c>
      <c r="L25" s="11">
        <v>44541.0</v>
      </c>
      <c r="M25" s="7" t="s">
        <v>6507</v>
      </c>
      <c r="N25" s="7" t="s">
        <v>6391</v>
      </c>
    </row>
    <row r="26">
      <c r="A26" s="8">
        <v>305995.0</v>
      </c>
      <c r="B26" s="7" t="s">
        <v>6508</v>
      </c>
      <c r="C26" s="7" t="s">
        <v>6509</v>
      </c>
      <c r="D26" s="7" t="s">
        <v>185</v>
      </c>
      <c r="E26" s="7" t="s">
        <v>16</v>
      </c>
      <c r="F26" s="7" t="s">
        <v>16</v>
      </c>
      <c r="G26" s="7" t="s">
        <v>6510</v>
      </c>
      <c r="H26" s="7" t="s">
        <v>6511</v>
      </c>
      <c r="I26" s="7" t="s">
        <v>25</v>
      </c>
      <c r="J26" s="7" t="s">
        <v>38</v>
      </c>
      <c r="K26" s="7" t="s">
        <v>39</v>
      </c>
      <c r="L26" s="11">
        <v>44529.0</v>
      </c>
      <c r="M26" s="7" t="s">
        <v>6512</v>
      </c>
      <c r="N26" s="7" t="s">
        <v>6391</v>
      </c>
    </row>
    <row r="27">
      <c r="A27" s="8">
        <v>305992.0</v>
      </c>
      <c r="B27" s="7" t="s">
        <v>6513</v>
      </c>
      <c r="C27" s="7" t="s">
        <v>6514</v>
      </c>
      <c r="D27" s="7" t="s">
        <v>185</v>
      </c>
      <c r="E27" s="7" t="s">
        <v>16</v>
      </c>
      <c r="F27" s="7" t="s">
        <v>16</v>
      </c>
      <c r="G27" s="7" t="s">
        <v>6515</v>
      </c>
      <c r="H27" s="7" t="s">
        <v>6516</v>
      </c>
      <c r="I27" s="7" t="s">
        <v>25</v>
      </c>
      <c r="J27" s="7" t="s">
        <v>314</v>
      </c>
      <c r="K27" s="7" t="s">
        <v>912</v>
      </c>
      <c r="L27" s="11">
        <v>44529.0</v>
      </c>
      <c r="M27" s="7" t="s">
        <v>6517</v>
      </c>
      <c r="N27" s="7" t="s">
        <v>6391</v>
      </c>
    </row>
    <row r="28">
      <c r="A28" s="8">
        <v>337451.0</v>
      </c>
      <c r="B28" s="7" t="s">
        <v>6518</v>
      </c>
      <c r="C28" s="7" t="s">
        <v>6519</v>
      </c>
      <c r="D28" s="7" t="s">
        <v>185</v>
      </c>
      <c r="E28" s="7" t="s">
        <v>16</v>
      </c>
      <c r="F28" s="7" t="s">
        <v>16</v>
      </c>
      <c r="G28" s="7" t="s">
        <v>6520</v>
      </c>
      <c r="H28" s="7" t="s">
        <v>6521</v>
      </c>
      <c r="I28" s="7" t="s">
        <v>65</v>
      </c>
      <c r="J28" s="7" t="s">
        <v>218</v>
      </c>
      <c r="K28" s="7" t="s">
        <v>6522</v>
      </c>
      <c r="L28" s="11">
        <v>44659.0</v>
      </c>
      <c r="M28" s="7" t="s">
        <v>6523</v>
      </c>
      <c r="N28" s="7" t="s">
        <v>6444</v>
      </c>
    </row>
    <row r="29">
      <c r="A29" s="8">
        <v>320476.0</v>
      </c>
      <c r="B29" s="7" t="s">
        <v>6524</v>
      </c>
      <c r="C29" s="7" t="s">
        <v>6525</v>
      </c>
      <c r="D29" s="7" t="s">
        <v>185</v>
      </c>
      <c r="E29" s="7" t="s">
        <v>16</v>
      </c>
      <c r="F29" s="7" t="s">
        <v>16</v>
      </c>
      <c r="G29" s="7" t="s">
        <v>6526</v>
      </c>
      <c r="H29" s="7" t="s">
        <v>6527</v>
      </c>
      <c r="I29" s="7" t="s">
        <v>25</v>
      </c>
      <c r="J29" s="7" t="s">
        <v>38</v>
      </c>
      <c r="K29" s="7" t="s">
        <v>103</v>
      </c>
      <c r="L29" s="11">
        <v>44589.0</v>
      </c>
      <c r="M29" s="7" t="s">
        <v>6528</v>
      </c>
      <c r="N29" s="7" t="s">
        <v>6391</v>
      </c>
    </row>
    <row r="30">
      <c r="A30" s="8">
        <v>322881.0</v>
      </c>
      <c r="B30" s="7" t="s">
        <v>6529</v>
      </c>
      <c r="C30" s="7" t="s">
        <v>6530</v>
      </c>
      <c r="D30" s="7" t="s">
        <v>185</v>
      </c>
      <c r="E30" s="7" t="s">
        <v>16</v>
      </c>
      <c r="F30" s="7" t="s">
        <v>16</v>
      </c>
      <c r="G30" s="7" t="s">
        <v>6531</v>
      </c>
      <c r="H30" s="7" t="s">
        <v>6532</v>
      </c>
      <c r="I30" s="7" t="s">
        <v>25</v>
      </c>
      <c r="J30" s="7" t="s">
        <v>550</v>
      </c>
      <c r="K30" s="7" t="s">
        <v>3148</v>
      </c>
      <c r="L30" s="11">
        <v>44599.0</v>
      </c>
      <c r="M30" s="7" t="s">
        <v>6533</v>
      </c>
      <c r="N30" s="7" t="s">
        <v>6391</v>
      </c>
    </row>
    <row r="31">
      <c r="A31" s="8">
        <v>322857.0</v>
      </c>
      <c r="B31" s="7" t="s">
        <v>6534</v>
      </c>
      <c r="C31" s="7" t="s">
        <v>6535</v>
      </c>
      <c r="D31" s="7" t="s">
        <v>185</v>
      </c>
      <c r="E31" s="7" t="s">
        <v>16</v>
      </c>
      <c r="F31" s="7" t="s">
        <v>16</v>
      </c>
      <c r="G31" s="7" t="s">
        <v>6536</v>
      </c>
      <c r="H31" s="7" t="s">
        <v>6537</v>
      </c>
      <c r="I31" s="7" t="s">
        <v>25</v>
      </c>
      <c r="J31" s="7" t="s">
        <v>241</v>
      </c>
      <c r="K31" s="7" t="s">
        <v>241</v>
      </c>
      <c r="L31" s="11">
        <v>44602.0</v>
      </c>
      <c r="M31" s="7" t="s">
        <v>6538</v>
      </c>
      <c r="N31" s="7" t="s">
        <v>6391</v>
      </c>
    </row>
    <row r="32">
      <c r="A32" s="8">
        <v>322860.0</v>
      </c>
      <c r="B32" s="7" t="s">
        <v>6539</v>
      </c>
      <c r="C32" s="7" t="s">
        <v>6540</v>
      </c>
      <c r="D32" s="7" t="s">
        <v>185</v>
      </c>
      <c r="E32" s="7" t="s">
        <v>16</v>
      </c>
      <c r="F32" s="7" t="s">
        <v>16</v>
      </c>
      <c r="G32" s="7" t="s">
        <v>6541</v>
      </c>
      <c r="H32" s="7" t="s">
        <v>6542</v>
      </c>
      <c r="I32" s="7" t="s">
        <v>25</v>
      </c>
      <c r="J32" s="7" t="s">
        <v>550</v>
      </c>
      <c r="K32" s="7" t="s">
        <v>550</v>
      </c>
      <c r="L32" s="11">
        <v>44602.0</v>
      </c>
      <c r="M32" s="7" t="s">
        <v>6543</v>
      </c>
      <c r="N32" s="7" t="s">
        <v>6391</v>
      </c>
    </row>
    <row r="33">
      <c r="A33" s="8">
        <v>329470.0</v>
      </c>
      <c r="B33" s="7" t="s">
        <v>6544</v>
      </c>
      <c r="C33" s="7" t="s">
        <v>6545</v>
      </c>
      <c r="D33" s="7" t="s">
        <v>185</v>
      </c>
      <c r="E33" s="7" t="s">
        <v>16</v>
      </c>
      <c r="F33" s="7" t="s">
        <v>16</v>
      </c>
      <c r="G33" s="7" t="s">
        <v>6546</v>
      </c>
      <c r="H33" s="7" t="s">
        <v>6547</v>
      </c>
      <c r="I33" s="7" t="s">
        <v>25</v>
      </c>
      <c r="J33" s="7" t="s">
        <v>486</v>
      </c>
      <c r="K33" s="7" t="s">
        <v>1934</v>
      </c>
      <c r="L33" s="11">
        <v>44624.0</v>
      </c>
      <c r="M33" s="7" t="s">
        <v>6548</v>
      </c>
      <c r="N33" s="7" t="s">
        <v>6391</v>
      </c>
    </row>
    <row r="34">
      <c r="A34" s="8">
        <v>346155.0</v>
      </c>
      <c r="B34" s="7" t="s">
        <v>6549</v>
      </c>
      <c r="C34" s="7" t="s">
        <v>6550</v>
      </c>
      <c r="D34" s="7" t="s">
        <v>185</v>
      </c>
      <c r="E34" s="7" t="s">
        <v>16</v>
      </c>
      <c r="F34" s="7" t="s">
        <v>16</v>
      </c>
      <c r="G34" s="7" t="s">
        <v>6551</v>
      </c>
      <c r="H34" s="7" t="s">
        <v>6552</v>
      </c>
      <c r="I34" s="7" t="s">
        <v>25</v>
      </c>
      <c r="J34" s="7" t="s">
        <v>236</v>
      </c>
      <c r="K34" s="7" t="s">
        <v>2099</v>
      </c>
      <c r="L34" s="11">
        <v>44697.0</v>
      </c>
      <c r="M34" s="7" t="s">
        <v>6553</v>
      </c>
      <c r="N34" s="7" t="s">
        <v>6391</v>
      </c>
    </row>
    <row r="35">
      <c r="A35" s="8">
        <v>344077.0</v>
      </c>
      <c r="B35" s="7" t="s">
        <v>6554</v>
      </c>
      <c r="C35" s="7" t="s">
        <v>6555</v>
      </c>
      <c r="D35" s="7" t="s">
        <v>185</v>
      </c>
      <c r="E35" s="7" t="s">
        <v>16</v>
      </c>
      <c r="F35" s="7" t="s">
        <v>16</v>
      </c>
      <c r="G35" s="7" t="s">
        <v>6556</v>
      </c>
      <c r="H35" s="7" t="s">
        <v>6557</v>
      </c>
      <c r="I35" s="7" t="s">
        <v>25</v>
      </c>
      <c r="J35" s="7" t="s">
        <v>246</v>
      </c>
      <c r="K35" s="7" t="s">
        <v>299</v>
      </c>
      <c r="L35" s="11">
        <v>44685.0</v>
      </c>
      <c r="M35" s="7" t="s">
        <v>6558</v>
      </c>
      <c r="N35" s="7" t="s">
        <v>6391</v>
      </c>
    </row>
    <row r="36">
      <c r="A36" s="8">
        <v>344386.0</v>
      </c>
      <c r="B36" s="7" t="s">
        <v>6559</v>
      </c>
      <c r="C36" s="7" t="s">
        <v>6560</v>
      </c>
      <c r="D36" s="7" t="s">
        <v>185</v>
      </c>
      <c r="E36" s="7" t="s">
        <v>16</v>
      </c>
      <c r="F36" s="7" t="s">
        <v>16</v>
      </c>
      <c r="G36" s="7" t="s">
        <v>6561</v>
      </c>
      <c r="H36" s="7" t="s">
        <v>6562</v>
      </c>
      <c r="I36" s="7" t="s">
        <v>25</v>
      </c>
      <c r="J36" s="7" t="s">
        <v>49</v>
      </c>
      <c r="K36" s="7" t="s">
        <v>49</v>
      </c>
      <c r="L36" s="11">
        <v>44686.0</v>
      </c>
      <c r="M36" s="7" t="s">
        <v>6563</v>
      </c>
      <c r="N36" s="7" t="s">
        <v>6391</v>
      </c>
    </row>
    <row r="37">
      <c r="A37" s="8">
        <v>393273.0</v>
      </c>
      <c r="B37" s="7" t="s">
        <v>6564</v>
      </c>
      <c r="C37" s="7" t="s">
        <v>6565</v>
      </c>
      <c r="D37" s="7" t="s">
        <v>185</v>
      </c>
      <c r="E37" s="7" t="s">
        <v>16</v>
      </c>
      <c r="F37" s="7" t="s">
        <v>16</v>
      </c>
      <c r="G37" s="7" t="s">
        <v>6432</v>
      </c>
      <c r="H37" s="7" t="s">
        <v>6566</v>
      </c>
      <c r="I37" s="7" t="s">
        <v>32</v>
      </c>
      <c r="J37" s="7" t="s">
        <v>25</v>
      </c>
      <c r="K37" s="7" t="s">
        <v>33</v>
      </c>
      <c r="L37" s="11">
        <v>45134.0</v>
      </c>
      <c r="M37" s="7" t="s">
        <v>6567</v>
      </c>
      <c r="N37" s="7" t="s">
        <v>6391</v>
      </c>
    </row>
    <row r="38">
      <c r="A38" s="8">
        <v>351955.0</v>
      </c>
      <c r="B38" s="7" t="s">
        <v>6568</v>
      </c>
      <c r="C38" s="7" t="s">
        <v>6569</v>
      </c>
      <c r="D38" s="7" t="s">
        <v>185</v>
      </c>
      <c r="E38" s="7" t="s">
        <v>16</v>
      </c>
      <c r="F38" s="7" t="s">
        <v>16</v>
      </c>
      <c r="G38" s="7" t="s">
        <v>6570</v>
      </c>
      <c r="H38" s="7" t="s">
        <v>6571</v>
      </c>
      <c r="I38" s="7" t="s">
        <v>32</v>
      </c>
      <c r="J38" s="7" t="s">
        <v>25</v>
      </c>
      <c r="K38" s="7" t="s">
        <v>702</v>
      </c>
      <c r="L38" s="11">
        <v>44718.0</v>
      </c>
      <c r="M38" s="7" t="s">
        <v>6572</v>
      </c>
      <c r="N38" s="7" t="s">
        <v>6391</v>
      </c>
    </row>
    <row r="39">
      <c r="A39" s="8">
        <v>351556.0</v>
      </c>
      <c r="B39" s="7" t="s">
        <v>6573</v>
      </c>
      <c r="C39" s="7" t="s">
        <v>6574</v>
      </c>
      <c r="D39" s="7" t="s">
        <v>185</v>
      </c>
      <c r="E39" s="7" t="s">
        <v>16</v>
      </c>
      <c r="F39" s="7" t="s">
        <v>16</v>
      </c>
      <c r="G39" s="7" t="s">
        <v>6575</v>
      </c>
      <c r="H39" s="7" t="s">
        <v>6576</v>
      </c>
      <c r="I39" s="7" t="s">
        <v>25</v>
      </c>
      <c r="J39" s="7" t="s">
        <v>118</v>
      </c>
      <c r="K39" s="7" t="s">
        <v>124</v>
      </c>
      <c r="L39" s="11">
        <v>44713.0</v>
      </c>
      <c r="M39" s="7" t="s">
        <v>6577</v>
      </c>
      <c r="N39" s="7" t="s">
        <v>6391</v>
      </c>
    </row>
    <row r="40">
      <c r="A40" s="8">
        <v>196538.0</v>
      </c>
      <c r="B40" s="7" t="s">
        <v>6578</v>
      </c>
      <c r="C40" s="7" t="s">
        <v>6579</v>
      </c>
      <c r="D40" s="7" t="s">
        <v>185</v>
      </c>
      <c r="E40" s="7" t="s">
        <v>16</v>
      </c>
      <c r="F40" s="7" t="s">
        <v>16</v>
      </c>
      <c r="G40" s="7" t="s">
        <v>6580</v>
      </c>
      <c r="H40" s="7" t="s">
        <v>6581</v>
      </c>
      <c r="I40" s="7" t="s">
        <v>71</v>
      </c>
      <c r="J40" s="7" t="s">
        <v>72</v>
      </c>
      <c r="K40" s="7" t="s">
        <v>336</v>
      </c>
      <c r="L40" s="11">
        <v>44174.0</v>
      </c>
      <c r="M40" s="7" t="s">
        <v>6582</v>
      </c>
      <c r="N40" s="7" t="s">
        <v>6444</v>
      </c>
    </row>
  </sheetData>
  <autoFilter ref="$A$1:$N$40">
    <filterColumn colId="13">
      <filters>
        <filter val="Ok"/>
        <filter val="Interior ok"/>
      </filters>
    </filterColumn>
    <sortState ref="A1:N40">
      <sortCondition ref="B1:B40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</cols>
  <sheetData>
    <row r="1">
      <c r="A1" s="2" t="s">
        <v>0</v>
      </c>
      <c r="B1" s="2" t="s">
        <v>1</v>
      </c>
      <c r="C1" s="2" t="s">
        <v>6583</v>
      </c>
      <c r="D1" s="2" t="s">
        <v>6584</v>
      </c>
    </row>
    <row r="2">
      <c r="A2" s="2" t="s">
        <v>6386</v>
      </c>
      <c r="B2" s="2" t="s">
        <v>6387</v>
      </c>
      <c r="C2" s="2" t="s">
        <v>6585</v>
      </c>
      <c r="D2" s="5">
        <v>46162.0</v>
      </c>
    </row>
    <row r="3">
      <c r="A3" s="2" t="s">
        <v>6392</v>
      </c>
      <c r="B3" s="2" t="s">
        <v>6393</v>
      </c>
      <c r="C3" s="2" t="s">
        <v>6585</v>
      </c>
      <c r="D3" s="6">
        <v>46162.0</v>
      </c>
    </row>
    <row r="4">
      <c r="A4" s="2" t="s">
        <v>6397</v>
      </c>
      <c r="B4" s="2" t="s">
        <v>6398</v>
      </c>
      <c r="C4" s="2" t="s">
        <v>6586</v>
      </c>
      <c r="D4" s="5">
        <v>46162.0</v>
      </c>
    </row>
    <row r="5">
      <c r="A5" s="2" t="s">
        <v>6402</v>
      </c>
      <c r="B5" s="2" t="s">
        <v>6403</v>
      </c>
      <c r="C5" s="2" t="s">
        <v>6586</v>
      </c>
      <c r="D5" s="5">
        <v>46163.0</v>
      </c>
    </row>
    <row r="6">
      <c r="A6" s="2" t="s">
        <v>6406</v>
      </c>
      <c r="B6" s="2" t="s">
        <v>6407</v>
      </c>
      <c r="C6" s="2" t="s">
        <v>6585</v>
      </c>
      <c r="D6" s="5">
        <v>46162.0</v>
      </c>
    </row>
    <row r="7">
      <c r="A7" s="2" t="s">
        <v>6410</v>
      </c>
      <c r="B7" s="2" t="s">
        <v>6411</v>
      </c>
      <c r="C7" s="2" t="s">
        <v>6585</v>
      </c>
      <c r="D7" s="5">
        <v>46169.0</v>
      </c>
    </row>
    <row r="8">
      <c r="A8" s="2" t="s">
        <v>6416</v>
      </c>
      <c r="B8" s="2" t="s">
        <v>6417</v>
      </c>
      <c r="C8" s="2" t="s">
        <v>6585</v>
      </c>
      <c r="D8" s="5">
        <v>46163.0</v>
      </c>
    </row>
    <row r="9">
      <c r="A9" s="2" t="s">
        <v>6421</v>
      </c>
      <c r="B9" s="2" t="s">
        <v>6422</v>
      </c>
      <c r="C9" s="2" t="s">
        <v>6585</v>
      </c>
      <c r="D9" s="6">
        <v>46162.0</v>
      </c>
    </row>
    <row r="10">
      <c r="A10" s="2" t="s">
        <v>6426</v>
      </c>
      <c r="B10" s="2" t="s">
        <v>6427</v>
      </c>
      <c r="C10" s="2" t="s">
        <v>6585</v>
      </c>
      <c r="D10" s="6">
        <v>46162.0</v>
      </c>
    </row>
    <row r="11">
      <c r="A11" s="2" t="s">
        <v>6430</v>
      </c>
      <c r="B11" s="2" t="s">
        <v>6431</v>
      </c>
      <c r="C11" s="2" t="s">
        <v>6585</v>
      </c>
      <c r="D11" s="5">
        <v>46163.0</v>
      </c>
    </row>
    <row r="12">
      <c r="A12" s="2" t="s">
        <v>6435</v>
      </c>
      <c r="B12" s="2" t="s">
        <v>6436</v>
      </c>
      <c r="C12" s="2" t="s">
        <v>6585</v>
      </c>
      <c r="D12" s="5">
        <v>46162.0</v>
      </c>
    </row>
    <row r="13">
      <c r="A13" s="2" t="s">
        <v>6439</v>
      </c>
      <c r="B13" s="2" t="s">
        <v>6440</v>
      </c>
      <c r="C13" s="2" t="s">
        <v>6585</v>
      </c>
      <c r="D13" s="5">
        <v>46157.0</v>
      </c>
    </row>
    <row r="14">
      <c r="A14" s="2" t="s">
        <v>6445</v>
      </c>
      <c r="B14" s="2" t="s">
        <v>6446</v>
      </c>
      <c r="C14" s="2" t="s">
        <v>6586</v>
      </c>
      <c r="D14" s="6">
        <v>46162.0</v>
      </c>
    </row>
    <row r="15">
      <c r="A15" s="2" t="s">
        <v>6450</v>
      </c>
      <c r="B15" s="2" t="s">
        <v>6451</v>
      </c>
    </row>
    <row r="16">
      <c r="A16" s="2" t="s">
        <v>6455</v>
      </c>
      <c r="B16" s="2" t="s">
        <v>6456</v>
      </c>
      <c r="C16" s="2" t="s">
        <v>6585</v>
      </c>
      <c r="D16" s="5">
        <v>46164.0</v>
      </c>
    </row>
    <row r="17">
      <c r="A17" s="2" t="s">
        <v>6460</v>
      </c>
      <c r="B17" s="2" t="s">
        <v>6461</v>
      </c>
      <c r="C17" s="2" t="s">
        <v>6585</v>
      </c>
      <c r="D17" s="5">
        <v>46161.0</v>
      </c>
    </row>
    <row r="18">
      <c r="A18" s="2" t="s">
        <v>6465</v>
      </c>
      <c r="B18" s="2" t="s">
        <v>6466</v>
      </c>
      <c r="C18" s="2" t="s">
        <v>6585</v>
      </c>
      <c r="D18" s="6">
        <v>46162.0</v>
      </c>
    </row>
    <row r="19">
      <c r="A19" s="2" t="s">
        <v>6470</v>
      </c>
      <c r="B19" s="2" t="s">
        <v>6471</v>
      </c>
      <c r="C19" s="2" t="s">
        <v>6585</v>
      </c>
      <c r="D19" s="5">
        <v>46163.0</v>
      </c>
    </row>
    <row r="20">
      <c r="A20" s="2" t="s">
        <v>6483</v>
      </c>
      <c r="B20" s="2" t="s">
        <v>6484</v>
      </c>
      <c r="C20" s="2" t="s">
        <v>6585</v>
      </c>
      <c r="D20" s="5">
        <v>46161.0</v>
      </c>
    </row>
    <row r="21">
      <c r="A21" s="2" t="s">
        <v>6488</v>
      </c>
      <c r="B21" s="2" t="s">
        <v>6489</v>
      </c>
      <c r="C21" s="2" t="s">
        <v>6585</v>
      </c>
      <c r="D21" s="5">
        <v>46163.0</v>
      </c>
    </row>
    <row r="22">
      <c r="A22" s="2" t="s">
        <v>6493</v>
      </c>
      <c r="B22" s="2" t="s">
        <v>6494</v>
      </c>
      <c r="C22" s="2" t="s">
        <v>6585</v>
      </c>
      <c r="D22" s="5">
        <v>46161.0</v>
      </c>
    </row>
    <row r="23">
      <c r="A23" s="2" t="s">
        <v>6498</v>
      </c>
      <c r="B23" s="2" t="s">
        <v>6499</v>
      </c>
      <c r="C23" s="2" t="s">
        <v>6585</v>
      </c>
      <c r="D23" s="5">
        <v>46170.0</v>
      </c>
    </row>
    <row r="24">
      <c r="A24" s="2" t="s">
        <v>6503</v>
      </c>
      <c r="B24" s="2" t="s">
        <v>6504</v>
      </c>
      <c r="C24" s="2" t="s">
        <v>6585</v>
      </c>
      <c r="D24" s="5">
        <v>46161.0</v>
      </c>
    </row>
    <row r="25">
      <c r="A25" s="2" t="s">
        <v>6508</v>
      </c>
      <c r="B25" s="2" t="s">
        <v>6509</v>
      </c>
    </row>
    <row r="26">
      <c r="A26" s="2" t="s">
        <v>6513</v>
      </c>
      <c r="B26" s="2" t="s">
        <v>6514</v>
      </c>
      <c r="C26" s="2" t="s">
        <v>6586</v>
      </c>
      <c r="D26" s="5">
        <v>46162.0</v>
      </c>
    </row>
    <row r="27">
      <c r="A27" s="2" t="s">
        <v>6518</v>
      </c>
      <c r="B27" s="2" t="s">
        <v>6519</v>
      </c>
    </row>
    <row r="28">
      <c r="A28" s="2" t="s">
        <v>6524</v>
      </c>
      <c r="B28" s="2" t="s">
        <v>6525</v>
      </c>
    </row>
    <row r="29">
      <c r="A29" s="2" t="s">
        <v>6529</v>
      </c>
      <c r="B29" s="2" t="s">
        <v>6530</v>
      </c>
      <c r="C29" s="2" t="s">
        <v>6585</v>
      </c>
      <c r="D29" s="5">
        <v>46163.0</v>
      </c>
    </row>
    <row r="30">
      <c r="A30" s="2" t="s">
        <v>6534</v>
      </c>
      <c r="B30" s="2" t="s">
        <v>6535</v>
      </c>
    </row>
    <row r="31">
      <c r="A31" s="2" t="s">
        <v>6539</v>
      </c>
      <c r="B31" s="2" t="s">
        <v>6540</v>
      </c>
      <c r="C31" s="2" t="s">
        <v>6585</v>
      </c>
      <c r="D31" s="5">
        <v>46163.0</v>
      </c>
    </row>
    <row r="32">
      <c r="A32" s="2" t="s">
        <v>6544</v>
      </c>
      <c r="B32" s="2" t="s">
        <v>6545</v>
      </c>
      <c r="C32" s="2" t="s">
        <v>6586</v>
      </c>
      <c r="D32" s="5">
        <v>46161.0</v>
      </c>
    </row>
    <row r="33">
      <c r="A33" s="2" t="s">
        <v>6549</v>
      </c>
      <c r="B33" s="2" t="s">
        <v>6550</v>
      </c>
      <c r="C33" s="2" t="s">
        <v>6585</v>
      </c>
      <c r="D33" s="5">
        <v>46163.0</v>
      </c>
    </row>
    <row r="34">
      <c r="A34" s="2" t="s">
        <v>6554</v>
      </c>
      <c r="B34" s="2" t="s">
        <v>6555</v>
      </c>
      <c r="C34" s="2" t="s">
        <v>6585</v>
      </c>
      <c r="D34" s="5">
        <v>46161.0</v>
      </c>
    </row>
    <row r="35">
      <c r="A35" s="2" t="s">
        <v>6559</v>
      </c>
      <c r="B35" s="2" t="s">
        <v>6560</v>
      </c>
      <c r="C35" s="2" t="s">
        <v>6586</v>
      </c>
      <c r="D35" s="5">
        <v>46162.0</v>
      </c>
    </row>
    <row r="36">
      <c r="A36" s="2" t="s">
        <v>6564</v>
      </c>
      <c r="B36" s="2" t="s">
        <v>6565</v>
      </c>
      <c r="C36" s="2" t="s">
        <v>6585</v>
      </c>
      <c r="D36" s="6">
        <v>46162.0</v>
      </c>
    </row>
    <row r="37">
      <c r="A37" s="2" t="s">
        <v>6568</v>
      </c>
      <c r="B37" s="2" t="s">
        <v>6569</v>
      </c>
      <c r="C37" s="2" t="s">
        <v>6586</v>
      </c>
      <c r="D37" s="6">
        <v>46162.0</v>
      </c>
    </row>
    <row r="38">
      <c r="A38" s="2" t="s">
        <v>6573</v>
      </c>
      <c r="B38" s="2" t="s">
        <v>6574</v>
      </c>
      <c r="C38" s="2" t="s">
        <v>6585</v>
      </c>
      <c r="D38" s="5">
        <v>46161.0</v>
      </c>
    </row>
    <row r="39">
      <c r="A39" s="2" t="s">
        <v>6578</v>
      </c>
      <c r="B39" s="2" t="s">
        <v>6579</v>
      </c>
      <c r="C39" s="2" t="s">
        <v>6585</v>
      </c>
      <c r="D39" s="5">
        <v>46170.0</v>
      </c>
    </row>
  </sheetData>
  <autoFilter ref="$A$1:$D$3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75"/>
    <col hidden="1" min="3" max="5" width="12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6587</v>
      </c>
      <c r="B2" s="2" t="s">
        <v>6588</v>
      </c>
      <c r="C2" s="2" t="s">
        <v>14</v>
      </c>
      <c r="D2" s="2" t="s">
        <v>15</v>
      </c>
      <c r="E2" s="2" t="s">
        <v>16</v>
      </c>
      <c r="F2" s="3">
        <f>+5491133781812</f>
        <v>5491133781812</v>
      </c>
      <c r="G2" s="2" t="s">
        <v>6589</v>
      </c>
      <c r="H2" s="2" t="s">
        <v>32</v>
      </c>
      <c r="I2" s="2" t="s">
        <v>25</v>
      </c>
      <c r="J2" s="2" t="s">
        <v>213</v>
      </c>
      <c r="K2" s="5">
        <v>45257.0</v>
      </c>
      <c r="L2" s="2" t="s">
        <v>6590</v>
      </c>
    </row>
    <row r="3">
      <c r="A3" s="2" t="s">
        <v>5970</v>
      </c>
      <c r="B3" s="2" t="s">
        <v>5971</v>
      </c>
      <c r="C3" s="2" t="s">
        <v>14</v>
      </c>
      <c r="D3" s="2" t="s">
        <v>15</v>
      </c>
      <c r="E3" s="2" t="s">
        <v>16</v>
      </c>
      <c r="F3" s="3">
        <f>+5491126390689</f>
        <v>5491126390689</v>
      </c>
      <c r="G3" s="2" t="s">
        <v>5972</v>
      </c>
      <c r="H3" s="2" t="s">
        <v>32</v>
      </c>
      <c r="I3" s="2" t="s">
        <v>25</v>
      </c>
      <c r="J3" s="2" t="s">
        <v>1037</v>
      </c>
      <c r="K3" s="5">
        <v>45936.0</v>
      </c>
      <c r="L3" s="2" t="s">
        <v>5973</v>
      </c>
    </row>
    <row r="4">
      <c r="A4" s="2" t="s">
        <v>5986</v>
      </c>
      <c r="B4" s="2" t="s">
        <v>5987</v>
      </c>
      <c r="C4" s="2" t="s">
        <v>14</v>
      </c>
      <c r="D4" s="2" t="s">
        <v>15</v>
      </c>
      <c r="E4" s="2" t="s">
        <v>16</v>
      </c>
      <c r="F4" s="3">
        <f>+5491130022793</f>
        <v>5491130022793</v>
      </c>
      <c r="G4" s="2" t="s">
        <v>5988</v>
      </c>
      <c r="H4" s="2" t="s">
        <v>25</v>
      </c>
      <c r="I4" s="2" t="s">
        <v>486</v>
      </c>
      <c r="J4" s="2" t="s">
        <v>486</v>
      </c>
      <c r="K4" s="6">
        <v>46083.0</v>
      </c>
      <c r="L4" s="2" t="s">
        <v>5989</v>
      </c>
    </row>
    <row r="5">
      <c r="A5" s="2" t="s">
        <v>6591</v>
      </c>
      <c r="B5" s="2" t="s">
        <v>6592</v>
      </c>
      <c r="C5" s="2" t="s">
        <v>14</v>
      </c>
      <c r="D5" s="2" t="s">
        <v>15</v>
      </c>
      <c r="E5" s="2" t="s">
        <v>16</v>
      </c>
      <c r="F5" s="3">
        <f>+5491151156745</f>
        <v>5491151156745</v>
      </c>
      <c r="G5" s="2" t="s">
        <v>6593</v>
      </c>
      <c r="H5" s="2" t="s">
        <v>32</v>
      </c>
      <c r="I5" s="2" t="s">
        <v>25</v>
      </c>
      <c r="J5" s="2" t="s">
        <v>1037</v>
      </c>
      <c r="K5" s="6">
        <v>46086.0</v>
      </c>
      <c r="L5" s="2" t="s">
        <v>6594</v>
      </c>
    </row>
  </sheetData>
  <drawing r:id="rId1"/>
</worksheet>
</file>